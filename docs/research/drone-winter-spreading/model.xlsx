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ы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Чувствительность" sheetId="3" state="visible" r:id="rId3"/>
    <sheet xmlns:r="http://schemas.openxmlformats.org/officeDocument/2006/relationships" name="Сезон" sheetId="4" state="visible" r:id="rId4"/>
    <sheet xmlns:r="http://schemas.openxmlformats.org/officeDocument/2006/relationships" name="Сравнение" sheetId="5" state="visible" r:id="rId5"/>
    <sheet xmlns:r="http://schemas.openxmlformats.org/officeDocument/2006/relationships" name="Тариф для КП" sheetId="6" state="visible" r:id="rId6"/>
    <sheet xmlns:r="http://schemas.openxmlformats.org/officeDocument/2006/relationships" name="Источники" sheetId="7" state="visible" r:id="rId7"/>
  </sheets>
  <definedNames>
    <definedName name="payload_kg">'Параметры'!$C$3</definedName>
    <definedName name="swath_eff_m">'Параметры'!$C$4</definedName>
    <definedName name="speed_ms">'Параметры'!$C$5</definedName>
    <definedName name="overhead_min">'Параметры'!$C$6</definedName>
    <definedName name="reload_min">'Параметры'!$C$7</definedName>
    <definedName name="eff_hours_per_day">'Параметры'!$C$8</definedName>
    <definedName name="days_per_season">'Параметры'!$C$9</definedName>
    <definedName name="max_flow_kg_min">'Параметры'!$C$10</definedName>
    <definedName name="cycle_equiv_min">'Параметры'!$C$11</definedName>
    <definedName name="max_flight_min">'Параметры'!$C$12</definedName>
    <definedName name="battery_price_usd">'Параметры'!$C$14</definedName>
    <definedName name="battery_cycles">'Параметры'!$C$15</definedName>
    <definedName name="battery_kwh">'Параметры'!$C$16</definedName>
    <definedName name="gen_l_per_kwh">'Параметры'!$C$17</definedName>
    <definedName name="charge_eff">'Параметры'!$C$18</definedName>
    <definedName name="petrol_price">'Параметры'!$C$19</definedName>
    <definedName name="pilot_day">'Параметры'!$C$21</definedName>
    <definedName name="helpers_count">'Параметры'!$C$22</definedName>
    <definedName name="helper_day">'Параметры'!$C$23</definedName>
    <definedName name="vehicle_km">'Параметры'!$C$24</definedName>
    <definedName name="diesel_l_100km">'Параметры'!$C$25</definedName>
    <definedName name="diesel_price">'Параметры'!$C$26</definedName>
    <definedName name="vehicle_wear_km">'Параметры'!$C$27</definedName>
    <definedName name="per_diem_day">'Параметры'!$C$28</definedName>
    <definedName name="other_day">'Параметры'!$C$29</definedName>
    <definedName name="drone_wear_usd_h">'Параметры'!$C$31</definedName>
    <definedName name="fert_wear_premium">'Параметры'!$C$32</definedName>
    <definedName name="spreader_price_usd">'Параметры'!$C$33</definedName>
    <definedName name="spreader_life_seasons">'Параметры'!$C$34</definedName>
    <definedName name="drone_price_usd">'Параметры'!$C$35</definedName>
    <definedName name="drone_life_years">'Параметры'!$C$36</definedName>
    <definedName name="drone_dep_winter_share">'Параметры'!$C$37</definedName>
    <definedName name="overhead_pct">'Параметры'!$C$39</definedName>
    <definedName name="target_margin_pct">'Параметры'!$C$40</definedName>
    <definedName name="usd_rate">'Параметры'!$C$41</definedName>
    <definedName name="liquid_tariff_external">'Параметры'!$C$43</definedName>
    <definedName name="liquid_tariff_internal">'Параметры'!$C$44</definedName>
    <definedName name="nitrate_price_t">'Параметры'!$C$45</definedName>
    <definedName name="urea_price_t">'Параметры'!$C$46</definedName>
    <definedName name="wheat_price_t">'Параметры'!$C$47</definedName>
    <definedName name="wheat_yield_t_ha">'Параметры'!$C$48</definedName>
    <definedName name="ground_spread_cost_ha">'Параметры'!$C$49</definedName>
    <definedName name="liq_ha_per_flight">'Параметры'!$C$51</definedName>
    <definedName name="liq_flight_min">'Параметры'!$C$52</definedName>
    <definedName name="liq_refill_min">'Параметры'!$C$53</definedName>
    <definedName name="liq_cycle_equiv_min">'Параметры'!$C$54</definedName>
    <definedName name="drones_in_winter">'Параметры'!$C$56</definedName>
    <definedName name="spreaders_owned">'Параметры'!$C$57</definedName>
    <definedName name="season_one_time_other">'Параметры'!$C$58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3" fontId="0" fillId="3" borderId="0" pivotButton="0" quotePrefix="0" xfId="0"/>
    <xf numFmtId="2" fontId="0" fillId="3" borderId="0" pivotButton="0" quotePrefix="0" xfId="0"/>
    <xf numFmtId="0" fontId="1" fillId="2" borderId="0" applyAlignment="1" pivotButton="0" quotePrefix="0" xfId="0">
      <alignment vertical="top" wrapText="1"/>
    </xf>
    <xf numFmtId="2" fontId="0" fillId="0" borderId="0" pivotButton="0" quotePrefix="0" xfId="0"/>
    <xf numFmtId="3" fontId="0" fillId="0" borderId="0" pivotButton="0" quotePrefix="0" xfId="0"/>
    <xf numFmtId="2" fontId="0" fillId="4" borderId="0" pivotButton="0" quotePrefix="0" xfId="0"/>
    <xf numFmtId="3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8" customWidth="1" min="2" max="2"/>
    <col width="14" customWidth="1" min="3" max="3"/>
    <col width="12" customWidth="1" min="4" max="4"/>
    <col width="10" customWidth="1" min="5" max="5"/>
    <col width="80" customWidth="1" min="6" max="6"/>
  </cols>
  <sheetData>
    <row r="1">
      <c r="A1" s="1" t="inlineStr">
        <is>
          <t>Код</t>
        </is>
      </c>
      <c r="B1" s="1" t="inlineStr">
        <is>
          <t>Параметр</t>
        </is>
      </c>
      <c r="C1" s="1" t="inlineStr">
        <is>
          <t>Значение</t>
        </is>
      </c>
      <c r="D1" s="1" t="inlineStr">
        <is>
          <t>Единица</t>
        </is>
      </c>
      <c r="E1" s="1" t="inlineStr">
        <is>
          <t>Тип</t>
        </is>
      </c>
      <c r="F1" s="1" t="inlineStr">
        <is>
          <t>Источник / комментарий</t>
        </is>
      </c>
    </row>
    <row r="2">
      <c r="A2" s="2" t="n"/>
      <c r="B2" s="3" t="inlineStr">
        <is>
          <t>ТЕХНИКА И ФИЗИКА ПОЛЁТА</t>
        </is>
      </c>
      <c r="C2" s="2" t="n"/>
      <c r="D2" s="2" t="n"/>
      <c r="E2" s="2" t="n"/>
      <c r="F2" s="2" t="n"/>
    </row>
    <row r="3">
      <c r="A3" t="inlineStr">
        <is>
          <t>payload_kg</t>
        </is>
      </c>
      <c r="B3" t="inlineStr">
        <is>
          <t>Полезная нагрузка за вылет</t>
        </is>
      </c>
      <c r="C3" s="4" t="n">
        <v>45</v>
      </c>
      <c r="D3" t="inlineStr">
        <is>
          <t>кг</t>
        </is>
      </c>
      <c r="E3" t="inlineStr">
        <is>
          <t>ОЦЕНКА</t>
        </is>
      </c>
      <c r="F3" s="5" t="inlineStr">
        <is>
          <t>Владелец: 40-50 кг. Паспорт DJI: бак 70 л, до 50 кг.</t>
        </is>
      </c>
    </row>
    <row r="4">
      <c r="A4" t="inlineStr">
        <is>
          <t>swath_eff_m</t>
        </is>
      </c>
      <c r="B4" t="inlineStr">
        <is>
          <t>Эффективная ширина захвата</t>
        </is>
      </c>
      <c r="C4" s="4" t="n">
        <v>6</v>
      </c>
      <c r="D4" t="inlineStr">
        <is>
          <t>м</t>
        </is>
      </c>
      <c r="E4" t="inlineStr">
        <is>
          <t>ДОГАДКА</t>
        </is>
      </c>
      <c r="F4" s="5" t="inlineStr">
        <is>
          <t>Паспорт DJI: 7 м. Минус перекрытие проходов и кромки.</t>
        </is>
      </c>
    </row>
    <row r="5">
      <c r="A5" t="inlineStr">
        <is>
          <t>speed_ms</t>
        </is>
      </c>
      <c r="B5" t="inlineStr">
        <is>
          <t>Рабочая скорость над полем</t>
        </is>
      </c>
      <c r="C5" s="4" t="n">
        <v>6</v>
      </c>
      <c r="D5" t="inlineStr">
        <is>
          <t>м/с</t>
        </is>
      </c>
      <c r="E5" t="inlineStr">
        <is>
          <t>ОЦЕНКА</t>
        </is>
      </c>
      <c r="F5" s="5" t="inlineStr">
        <is>
          <t>Тестовые параметры DJI для 1,5 т/ч: 7 м/с, высота 3 м.</t>
        </is>
      </c>
    </row>
    <row r="6">
      <c r="A6" t="inlineStr">
        <is>
          <t>overhead_min</t>
        </is>
      </c>
      <c r="B6" t="inlineStr">
        <is>
          <t>Накладное время вылета (взлёт, подлёт, посадка)</t>
        </is>
      </c>
      <c r="C6" s="4" t="n">
        <v>1.5</v>
      </c>
      <c r="D6" t="inlineStr">
        <is>
          <t>мин</t>
        </is>
      </c>
      <c r="E6" t="inlineStr">
        <is>
          <t>ДОГАДКА</t>
        </is>
      </c>
      <c r="F6" s="5" t="inlineStr">
        <is>
          <t>Станция у кромки поля, подлёт до 300 м. Проверить пилотом.</t>
        </is>
      </c>
    </row>
    <row r="7">
      <c r="A7" t="inlineStr">
        <is>
          <t>reload_min</t>
        </is>
      </c>
      <c r="B7" t="inlineStr">
        <is>
          <t>Загрузка бака и смена батареи</t>
        </is>
      </c>
      <c r="C7" s="4" t="n">
        <v>1.5</v>
      </c>
      <c r="D7" t="inlineStr">
        <is>
          <t>мин</t>
        </is>
      </c>
      <c r="E7" t="inlineStr">
        <is>
          <t>ДОГАДКА</t>
        </is>
      </c>
      <c r="F7" s="5" t="inlineStr">
        <is>
          <t>Два помощника, мешок 50 кг, засыпка по весовому датчику. Главный рычаг.</t>
        </is>
      </c>
    </row>
    <row r="8">
      <c r="A8" t="inlineStr">
        <is>
          <t>eff_hours_per_day</t>
        </is>
      </c>
      <c r="B8" t="inlineStr">
        <is>
          <t>Эффективное лётное время за день</t>
        </is>
      </c>
      <c r="C8" s="4" t="n">
        <v>3</v>
      </c>
      <c r="D8" t="inlineStr">
        <is>
          <t>ч</t>
        </is>
      </c>
      <c r="E8" t="inlineStr">
        <is>
          <t>ОЦЕНКА</t>
        </is>
      </c>
      <c r="F8" s="5" t="inlineStr">
        <is>
          <t>Сентябрь: ~7 000 га / 15 бортов / ~25 дней при 1,0-1,25 га за вылет -&gt; ~3 ч чистого налёта в день.</t>
        </is>
      </c>
    </row>
    <row r="9">
      <c r="A9" t="inlineStr">
        <is>
          <t>days_per_season</t>
        </is>
      </c>
      <c r="B9" t="inlineStr">
        <is>
          <t>Рабочих дней за зимний сезон на борт</t>
        </is>
      </c>
      <c r="C9" s="4" t="n">
        <v>30</v>
      </c>
      <c r="D9" t="inlineStr">
        <is>
          <t>дн</t>
        </is>
      </c>
      <c r="E9" t="inlineStr">
        <is>
          <t>ДОГАДКА</t>
        </is>
      </c>
      <c r="F9" s="5" t="inlineStr">
        <is>
          <t>Окно подкормки ~1.02-20.03 (48 дней) минус выходные и погода.</t>
        </is>
      </c>
    </row>
    <row r="10">
      <c r="A10" t="inlineStr">
        <is>
          <t>max_flow_kg_min</t>
        </is>
      </c>
      <c r="B10" t="inlineStr">
        <is>
          <t>Максимальная подача разбрасывателя</t>
        </is>
      </c>
      <c r="C10" s="4" t="n">
        <v>90</v>
      </c>
      <c r="D10" t="inlineStr">
        <is>
          <t>кг/мин</t>
        </is>
      </c>
      <c r="E10" t="inlineStr">
        <is>
          <t>ОЦЕНКА</t>
        </is>
      </c>
      <c r="F10" s="5" t="inlineStr">
        <is>
          <t>Данные ритейлеров DJI; тест DJI 149 кг/га при 17,6 га/ч = 44 кг/мин.</t>
        </is>
      </c>
    </row>
    <row r="11">
      <c r="A11" t="inlineStr">
        <is>
          <t>cycle_equiv_min</t>
        </is>
      </c>
      <c r="B11" t="inlineStr">
        <is>
          <t>Минут полёта на один полный цикл батареи</t>
        </is>
      </c>
      <c r="C11" s="4" t="n">
        <v>9</v>
      </c>
      <c r="D11" t="inlineStr">
        <is>
          <t>мин</t>
        </is>
      </c>
      <c r="E11" t="inlineStr">
        <is>
          <t>ОЦЕНКА</t>
        </is>
      </c>
      <c r="F11" s="5" t="inlineStr">
        <is>
          <t>DJI: висение 6 мин при 101 кг (полный бак), 18 мин при 50 кг (пустой); вес падает по ходу вылета.</t>
        </is>
      </c>
    </row>
    <row r="12">
      <c r="A12" t="inlineStr">
        <is>
          <t>max_flight_min</t>
        </is>
      </c>
      <c r="B12" t="inlineStr">
        <is>
          <t>Предельная длительность вылета при лёгкой загрузке</t>
        </is>
      </c>
      <c r="C12" s="4" t="n">
        <v>10</v>
      </c>
      <c r="D12" t="inlineStr">
        <is>
          <t>мин</t>
        </is>
      </c>
      <c r="E12" t="inlineStr">
        <is>
          <t>ОЦЕНКА</t>
        </is>
      </c>
      <c r="F12" s="5" t="inlineStr">
        <is>
          <t>Висение 18 мин без груза; с запасом на возврат ~10-12 мин. Режет вылет при нормах ниже ~25 кг/га (семена).</t>
        </is>
      </c>
    </row>
    <row r="13">
      <c r="A13" s="2" t="n"/>
      <c r="B13" s="3" t="inlineStr">
        <is>
          <t>БАТАРЕИ И ЭНЕРГИЯ</t>
        </is>
      </c>
      <c r="C13" s="2" t="n"/>
      <c r="D13" s="2" t="n"/>
      <c r="E13" s="2" t="n"/>
      <c r="F13" s="2" t="n"/>
    </row>
    <row r="14">
      <c r="A14" t="inlineStr">
        <is>
          <t>battery_price_usd</t>
        </is>
      </c>
      <c r="B14" t="inlineStr">
        <is>
          <t>Цена батареи T40 (DB1560, 30 000 мА·ч)</t>
        </is>
      </c>
      <c r="C14" s="6" t="n">
        <v>1800</v>
      </c>
      <c r="D14" t="inlineStr">
        <is>
          <t>USD</t>
        </is>
      </c>
      <c r="E14" t="inlineStr">
        <is>
          <t>ДОГАДКА</t>
        </is>
      </c>
      <c r="F14" s="5" t="inlineStr">
        <is>
          <t>Розница США 2 499 USD; поставки из Китая дешевле. Уточнить у поставщика.</t>
        </is>
      </c>
    </row>
    <row r="15">
      <c r="A15" t="inlineStr">
        <is>
          <t>battery_cycles</t>
        </is>
      </c>
      <c r="B15" t="inlineStr">
        <is>
          <t>Ресурс батареи</t>
        </is>
      </c>
      <c r="C15" s="6" t="n">
        <v>1200</v>
      </c>
      <c r="D15" t="inlineStr">
        <is>
          <t>циклов</t>
        </is>
      </c>
      <c r="E15" t="inlineStr">
        <is>
          <t>ОЦЕНКА</t>
        </is>
      </c>
      <c r="F15" s="5" t="inlineStr">
        <is>
          <t>Гарантия DJI по данным ритейлеров: 1 000-1 500 циклов.</t>
        </is>
      </c>
    </row>
    <row r="16">
      <c r="A16" t="inlineStr">
        <is>
          <t>battery_kwh</t>
        </is>
      </c>
      <c r="B16" t="inlineStr">
        <is>
          <t>Ёмкость батареи</t>
        </is>
      </c>
      <c r="C16" s="4" t="n">
        <v>1.567</v>
      </c>
      <c r="D16" t="inlineStr">
        <is>
          <t>кВт·ч</t>
        </is>
      </c>
      <c r="E16" t="inlineStr">
        <is>
          <t>ФАКТ</t>
        </is>
      </c>
      <c r="F16" s="5" t="inlineStr">
        <is>
          <t>30 А·ч x 52,22 В.</t>
        </is>
      </c>
    </row>
    <row r="17">
      <c r="A17" t="inlineStr">
        <is>
          <t>gen_l_per_kwh</t>
        </is>
      </c>
      <c r="B17" t="inlineStr">
        <is>
          <t>Расход бензина генератором D12000iE</t>
        </is>
      </c>
      <c r="C17" s="7" t="n">
        <v>0.5</v>
      </c>
      <c r="D17" t="inlineStr">
        <is>
          <t>л/кВт·ч</t>
        </is>
      </c>
      <c r="E17" t="inlineStr">
        <is>
          <t>ФАКТ</t>
        </is>
      </c>
      <c r="F17" s="5" t="inlineStr">
        <is>
          <t>Паспорт DJI: 500 мл/кВт·ч.</t>
        </is>
      </c>
    </row>
    <row r="18">
      <c r="A18" t="inlineStr">
        <is>
          <t>charge_eff</t>
        </is>
      </c>
      <c r="B18" t="inlineStr">
        <is>
          <t>КПД зарядки (доля энергии, дошедшей в батарею)</t>
        </is>
      </c>
      <c r="C18" s="7" t="n">
        <v>0.85</v>
      </c>
      <c r="D18" t="inlineStr">
        <is>
          <t>доля</t>
        </is>
      </c>
      <c r="E18" t="inlineStr">
        <is>
          <t>ДОГАДКА</t>
        </is>
      </c>
      <c r="F18" s="5" t="inlineStr"/>
    </row>
    <row r="19">
      <c r="A19" t="inlineStr">
        <is>
          <t>petrol_price</t>
        </is>
      </c>
      <c r="B19" t="inlineStr">
        <is>
          <t>Цена бензина АИ-92</t>
        </is>
      </c>
      <c r="C19" s="6" t="n">
        <v>13000</v>
      </c>
      <c r="D19" t="inlineStr">
        <is>
          <t>сум/л</t>
        </is>
      </c>
      <c r="E19" t="inlineStr">
        <is>
          <t>ФАКТ</t>
        </is>
      </c>
      <c r="F19" s="5" t="inlineStr">
        <is>
          <t>Ташкент, 22.09.2026: 12 600 (местный) / 13 900 (импортный).</t>
        </is>
      </c>
    </row>
    <row r="20">
      <c r="A20" s="2" t="n"/>
      <c r="B20" s="3" t="inlineStr">
        <is>
          <t>ЛЮДИ И ТРАНСПОРТ (НА РАБОЧИЙ ДЕНЬ)</t>
        </is>
      </c>
      <c r="C20" s="2" t="n"/>
      <c r="D20" s="2" t="n"/>
      <c r="E20" s="2" t="n"/>
      <c r="F20" s="2" t="n"/>
    </row>
    <row r="21">
      <c r="A21" t="inlineStr">
        <is>
          <t>pilot_day</t>
        </is>
      </c>
      <c r="B21" t="inlineStr">
        <is>
          <t>Оплата пилота за рабочий день</t>
        </is>
      </c>
      <c r="C21" s="6" t="n">
        <v>400000</v>
      </c>
      <c r="D21" t="inlineStr">
        <is>
          <t>сум</t>
        </is>
      </c>
      <c r="E21" t="inlineStr">
        <is>
          <t>ДОГАДКА</t>
        </is>
      </c>
      <c r="F21" s="5" t="inlineStr">
        <is>
          <t>Paylab: операторы сельхозтехники 3,6-7,4 млн/мес; пилот дрона выше. Уточнить по своим ведомостям.</t>
        </is>
      </c>
    </row>
    <row r="22">
      <c r="A22" t="inlineStr">
        <is>
          <t>helpers_count</t>
        </is>
      </c>
      <c r="B22" t="inlineStr">
        <is>
          <t>Помощников на загрузке</t>
        </is>
      </c>
      <c r="C22" s="4" t="n">
        <v>2</v>
      </c>
      <c r="D22" t="inlineStr">
        <is>
          <t>чел</t>
        </is>
      </c>
      <c r="E22" t="inlineStr">
        <is>
          <t>ДОГАДКА</t>
        </is>
      </c>
      <c r="F22" s="5" t="inlineStr">
        <is>
          <t>Один человек 60 мешков по 45 кг за день не поднимет.</t>
        </is>
      </c>
    </row>
    <row r="23">
      <c r="A23" t="inlineStr">
        <is>
          <t>helper_day</t>
        </is>
      </c>
      <c r="B23" t="inlineStr">
        <is>
          <t>Оплата помощника за день</t>
        </is>
      </c>
      <c r="C23" s="6" t="n">
        <v>180000</v>
      </c>
      <c r="D23" t="inlineStr">
        <is>
          <t>сум</t>
        </is>
      </c>
      <c r="E23" t="inlineStr">
        <is>
          <t>ДОГАДКА</t>
        </is>
      </c>
      <c r="F23" s="5" t="inlineStr"/>
    </row>
    <row r="24">
      <c r="A24" t="inlineStr">
        <is>
          <t>vehicle_km</t>
        </is>
      </c>
      <c r="B24" t="inlineStr">
        <is>
          <t>Пробег машины сопровождения за день</t>
        </is>
      </c>
      <c r="C24" s="4" t="n">
        <v>100</v>
      </c>
      <c r="D24" t="inlineStr">
        <is>
          <t>км</t>
        </is>
      </c>
      <c r="E24" t="inlineStr">
        <is>
          <t>ДОГАДКА</t>
        </is>
      </c>
      <c r="F24" s="5" t="inlineStr"/>
    </row>
    <row r="25">
      <c r="A25" t="inlineStr">
        <is>
          <t>diesel_l_100km</t>
        </is>
      </c>
      <c r="B25" t="inlineStr">
        <is>
          <t>Расход дизеля машины сопровождения</t>
        </is>
      </c>
      <c r="C25" s="4" t="n">
        <v>12</v>
      </c>
      <c r="D25" t="inlineStr">
        <is>
          <t>л/100 км</t>
        </is>
      </c>
      <c r="E25" t="inlineStr">
        <is>
          <t>ДОГАДКА</t>
        </is>
      </c>
      <c r="F25" s="5" t="inlineStr"/>
    </row>
    <row r="26">
      <c r="A26" t="inlineStr">
        <is>
          <t>diesel_price</t>
        </is>
      </c>
      <c r="B26" t="inlineStr">
        <is>
          <t>Цена дизельного топлива</t>
        </is>
      </c>
      <c r="C26" s="6" t="n">
        <v>15000</v>
      </c>
      <c r="D26" t="inlineStr">
        <is>
          <t>сум/л</t>
        </is>
      </c>
      <c r="E26" t="inlineStr">
        <is>
          <t>ОЦЕНКА</t>
        </is>
      </c>
      <c r="F26" s="5" t="inlineStr">
        <is>
          <t>АЗС Ташкента 14 700-15 900; биржа апрель 2026: 15,86 млн сум/т.</t>
        </is>
      </c>
    </row>
    <row r="27">
      <c r="A27" t="inlineStr">
        <is>
          <t>vehicle_wear_km</t>
        </is>
      </c>
      <c r="B27" t="inlineStr">
        <is>
          <t>Износ машины сопровождения</t>
        </is>
      </c>
      <c r="C27" s="6" t="n">
        <v>1500</v>
      </c>
      <c r="D27" t="inlineStr">
        <is>
          <t>сум/км</t>
        </is>
      </c>
      <c r="E27" t="inlineStr">
        <is>
          <t>ДОГАДКА</t>
        </is>
      </c>
      <c r="F27" s="5" t="inlineStr"/>
    </row>
    <row r="28">
      <c r="A28" t="inlineStr">
        <is>
          <t>per_diem_day</t>
        </is>
      </c>
      <c r="B28" t="inlineStr">
        <is>
          <t>Питание и проживание экипажа</t>
        </is>
      </c>
      <c r="C28" s="6" t="n">
        <v>100000</v>
      </c>
      <c r="D28" t="inlineStr">
        <is>
          <t>сум/день</t>
        </is>
      </c>
      <c r="E28" t="inlineStr">
        <is>
          <t>ДОГАДКА</t>
        </is>
      </c>
      <c r="F28" s="5" t="inlineStr"/>
    </row>
    <row r="29">
      <c r="A29" t="inlineStr">
        <is>
          <t>other_day</t>
        </is>
      </c>
      <c r="B29" t="inlineStr">
        <is>
          <t>Прочее за день (износ генератора, связь, промывка)</t>
        </is>
      </c>
      <c r="C29" s="6" t="n">
        <v>50000</v>
      </c>
      <c r="D29" t="inlineStr">
        <is>
          <t>сум/день</t>
        </is>
      </c>
      <c r="E29" t="inlineStr">
        <is>
          <t>ДОГАДКА</t>
        </is>
      </c>
      <c r="F29" s="5" t="inlineStr"/>
    </row>
    <row r="30">
      <c r="A30" s="2" t="n"/>
      <c r="B30" s="3" t="inlineStr">
        <is>
          <t>ИЗНОС И АМОРТИЗАЦИЯ ТЕХНИКИ</t>
        </is>
      </c>
      <c r="C30" s="2" t="n"/>
      <c r="D30" s="2" t="n"/>
      <c r="E30" s="2" t="n"/>
      <c r="F30" s="2" t="n"/>
    </row>
    <row r="31">
      <c r="A31" t="inlineStr">
        <is>
          <t>drone_wear_usd_h</t>
        </is>
      </c>
      <c r="B31" t="inlineStr">
        <is>
          <t>Ремонтный резерв дрона за лётный час</t>
        </is>
      </c>
      <c r="C31" s="4" t="n">
        <v>5</v>
      </c>
      <c r="D31" t="inlineStr">
        <is>
          <t>USD/ч</t>
        </is>
      </c>
      <c r="E31" t="inlineStr">
        <is>
          <t>ДОГАДКА</t>
        </is>
      </c>
      <c r="F31" s="5" t="inlineStr">
        <is>
          <t>Винты, моторы, мелкий ремонт: ~2 500 USD на 500 лётных часов.</t>
        </is>
      </c>
    </row>
    <row r="32">
      <c r="A32" t="inlineStr">
        <is>
          <t>fert_wear_premium</t>
        </is>
      </c>
      <c r="B32" t="inlineStr">
        <is>
          <t>Надбавка к износу за удобрения (коррозия, пыль)</t>
        </is>
      </c>
      <c r="C32" s="7" t="n">
        <v>0.5</v>
      </c>
      <c r="D32" t="inlineStr">
        <is>
          <t>доля</t>
        </is>
      </c>
      <c r="E32" t="inlineStr">
        <is>
          <t>ДОГАДКА</t>
        </is>
      </c>
      <c r="F32" s="5" t="inlineStr">
        <is>
          <t>Селитра -- самое коррозионно-активное удобрение (РГАУ-МСХА, 2026).</t>
        </is>
      </c>
    </row>
    <row r="33">
      <c r="A33" t="inlineStr">
        <is>
          <t>spreader_price_usd</t>
        </is>
      </c>
      <c r="B33" t="inlineStr">
        <is>
          <t>Цена разбрасывателя T40 Spreading System 3.0</t>
        </is>
      </c>
      <c r="C33" s="6" t="n">
        <v>1300</v>
      </c>
      <c r="D33" t="inlineStr">
        <is>
          <t>USD</t>
        </is>
      </c>
      <c r="E33" t="inlineStr">
        <is>
          <t>ФАКТ</t>
        </is>
      </c>
      <c r="F33" s="5" t="inlineStr">
        <is>
          <t>Розница 1 199-1 499 USD (2025).</t>
        </is>
      </c>
    </row>
    <row r="34">
      <c r="A34" t="inlineStr">
        <is>
          <t>spreader_life_seasons</t>
        </is>
      </c>
      <c r="B34" t="inlineStr">
        <is>
          <t>Срок службы разбрасывателя</t>
        </is>
      </c>
      <c r="C34" s="4" t="n">
        <v>2</v>
      </c>
      <c r="D34" t="inlineStr">
        <is>
          <t>сезонов</t>
        </is>
      </c>
      <c r="E34" t="inlineStr">
        <is>
          <t>ДОГАДКА</t>
        </is>
      </c>
      <c r="F34" s="5" t="inlineStr"/>
    </row>
    <row r="35">
      <c r="A35" t="inlineStr">
        <is>
          <t>drone_price_usd</t>
        </is>
      </c>
      <c r="B35" t="inlineStr">
        <is>
          <t>Цена дрона T40 (без разбрасывателя)</t>
        </is>
      </c>
      <c r="C35" s="6" t="n">
        <v>20000</v>
      </c>
      <c r="D35" t="inlineStr">
        <is>
          <t>USD</t>
        </is>
      </c>
      <c r="E35" t="inlineStr">
        <is>
          <t>ОЦЕНКА</t>
        </is>
      </c>
      <c r="F35" s="5" t="inlineStr">
        <is>
          <t>Б/у 2025 с 3 АКБ: 19 000 USD; новый без АКБ 13 500-16 000 USD.</t>
        </is>
      </c>
    </row>
    <row r="36">
      <c r="A36" t="inlineStr">
        <is>
          <t>drone_life_years</t>
        </is>
      </c>
      <c r="B36" t="inlineStr">
        <is>
          <t>Срок амортизации дрона</t>
        </is>
      </c>
      <c r="C36" s="4" t="n">
        <v>5</v>
      </c>
      <c r="D36" t="inlineStr">
        <is>
          <t>лет</t>
        </is>
      </c>
      <c r="E36" t="inlineStr">
        <is>
          <t>ДОГАДКА</t>
        </is>
      </c>
      <c r="F36" s="5" t="inlineStr"/>
    </row>
    <row r="37">
      <c r="A37" t="inlineStr">
        <is>
          <t>drone_dep_winter_share</t>
        </is>
      </c>
      <c r="B37" t="inlineStr">
        <is>
          <t>Доля годовой амортизации дрона, относимая на зиму</t>
        </is>
      </c>
      <c r="C37" s="7" t="n">
        <v>0</v>
      </c>
      <c r="D37" t="inlineStr">
        <is>
          <t>доля</t>
        </is>
      </c>
      <c r="E37" t="inlineStr">
        <is>
          <t>РЕШЕНИЕ</t>
        </is>
      </c>
      <c r="F37" s="5" t="inlineStr">
        <is>
          <t>0 = парк уже окупается летом (маржинальный взгляд). 0,2-0,3 = полная себестоимость.</t>
        </is>
      </c>
    </row>
    <row r="38">
      <c r="A38" s="2" t="n"/>
      <c r="B38" s="3" t="inlineStr">
        <is>
          <t>НАКЛАДНЫЕ, МАРЖА, КУРС</t>
        </is>
      </c>
      <c r="C38" s="2" t="n"/>
      <c r="D38" s="2" t="n"/>
      <c r="E38" s="2" t="n"/>
      <c r="F38" s="2" t="n"/>
    </row>
    <row r="39">
      <c r="A39" t="inlineStr">
        <is>
          <t>overhead_pct</t>
        </is>
      </c>
      <c r="B39" t="inlineStr">
        <is>
          <t>Накладные расходы (диспетчер, учёт, страховка)</t>
        </is>
      </c>
      <c r="C39" s="7" t="n">
        <v>0.1</v>
      </c>
      <c r="D39" t="inlineStr">
        <is>
          <t>доля выручки</t>
        </is>
      </c>
      <c r="E39" t="inlineStr">
        <is>
          <t>ДОГАДКА</t>
        </is>
      </c>
      <c r="F39" s="5" t="inlineStr"/>
    </row>
    <row r="40">
      <c r="A40" t="inlineStr">
        <is>
          <t>target_margin_pct</t>
        </is>
      </c>
      <c r="B40" t="inlineStr">
        <is>
          <t>Целевая маржа</t>
        </is>
      </c>
      <c r="C40" s="7" t="n">
        <v>0.25</v>
      </c>
      <c r="D40" t="inlineStr">
        <is>
          <t>доля выручки</t>
        </is>
      </c>
      <c r="E40" t="inlineStr">
        <is>
          <t>РЕШЕНИЕ</t>
        </is>
      </c>
      <c r="F40" s="5" t="inlineStr">
        <is>
          <t>Задаёт владелец.</t>
        </is>
      </c>
    </row>
    <row r="41">
      <c r="A41" t="inlineStr">
        <is>
          <t>usd_rate</t>
        </is>
      </c>
      <c r="B41" t="inlineStr">
        <is>
          <t>Курс USD/UZS</t>
        </is>
      </c>
      <c r="C41" s="6" t="n">
        <v>12000</v>
      </c>
      <c r="D41" t="inlineStr">
        <is>
          <t>сум</t>
        </is>
      </c>
      <c r="E41" t="inlineStr">
        <is>
          <t>ФАКТ</t>
        </is>
      </c>
      <c r="F41" s="5" t="inlineStr">
        <is>
          <t>ЦБ РУз 29.10.2026: 11 965-12 004.</t>
        </is>
      </c>
    </row>
    <row r="42">
      <c r="A42" s="2" t="n"/>
      <c r="B42" s="3" t="inlineStr">
        <is>
          <t>РЫНОК И СТОРОНА ФЕРМЕРА</t>
        </is>
      </c>
      <c r="C42" s="2" t="n"/>
      <c r="D42" s="2" t="n"/>
      <c r="E42" s="2" t="n"/>
      <c r="F42" s="2" t="n"/>
    </row>
    <row r="43">
      <c r="A43" t="inlineStr">
        <is>
          <t>liquid_tariff_external</t>
        </is>
      </c>
      <c r="B43" t="inlineStr">
        <is>
          <t>Текущий тариф опрыскивания, внешние заказчики</t>
        </is>
      </c>
      <c r="C43" s="6" t="n">
        <v>200000</v>
      </c>
      <c r="D43" t="inlineStr">
        <is>
          <t>сум/га</t>
        </is>
      </c>
      <c r="E43" t="inlineStr">
        <is>
          <t>ФАКТ</t>
        </is>
      </c>
      <c r="F43" s="5" t="inlineStr">
        <is>
          <t>Владелец.</t>
        </is>
      </c>
    </row>
    <row r="44">
      <c r="A44" t="inlineStr">
        <is>
          <t>liquid_tariff_internal</t>
        </is>
      </c>
      <c r="B44" t="inlineStr">
        <is>
          <t>Ставка внутреннего контура (земли Агрокластера)</t>
        </is>
      </c>
      <c r="C44" s="6" t="n">
        <v>80000</v>
      </c>
      <c r="D44" t="inlineStr">
        <is>
          <t>сум/га</t>
        </is>
      </c>
      <c r="E44" t="inlineStr">
        <is>
          <t>ФАКТ</t>
        </is>
      </c>
      <c r="F44" s="5" t="inlineStr">
        <is>
          <t>Книги сентября 2025: 75 040 / 76 458 / 85 633 / 86 000.</t>
        </is>
      </c>
    </row>
    <row r="45">
      <c r="A45" t="inlineStr">
        <is>
          <t>nitrate_price_t</t>
        </is>
      </c>
      <c r="B45" t="inlineStr">
        <is>
          <t>Аммиачная селитра (34,4% N)</t>
        </is>
      </c>
      <c r="C45" s="6" t="n">
        <v>3770000</v>
      </c>
      <c r="D45" t="inlineStr">
        <is>
          <t>сум/т</t>
        </is>
      </c>
      <c r="E45" t="inlineStr">
        <is>
          <t>ФАКТ</t>
        </is>
      </c>
      <c r="F45" s="5" t="inlineStr">
        <is>
          <t>UZEX, август 2026: 3 766,5 тыс. сум/т.</t>
        </is>
      </c>
    </row>
    <row r="46">
      <c r="A46" t="inlineStr">
        <is>
          <t>urea_price_t</t>
        </is>
      </c>
      <c r="B46" t="inlineStr">
        <is>
          <t>Карбамид (46% N)</t>
        </is>
      </c>
      <c r="C46" s="6" t="n">
        <v>3000000</v>
      </c>
      <c r="D46" t="inlineStr">
        <is>
          <t>сум/т</t>
        </is>
      </c>
      <c r="E46" t="inlineStr">
        <is>
          <t>ДОГАДКА</t>
        </is>
      </c>
      <c r="F46" s="5" t="inlineStr">
        <is>
          <t>Свежей биржевой цены 2026 не найдено; мировая ~700 USD/т (апр. 2026).</t>
        </is>
      </c>
    </row>
    <row r="47">
      <c r="A47" t="inlineStr">
        <is>
          <t>wheat_price_t</t>
        </is>
      </c>
      <c r="B47" t="inlineStr">
        <is>
          <t>Цена пшеницы для фермера</t>
        </is>
      </c>
      <c r="C47" s="6" t="n">
        <v>3500000</v>
      </c>
      <c r="D47" t="inlineStr">
        <is>
          <t>сум/т</t>
        </is>
      </c>
      <c r="E47" t="inlineStr">
        <is>
          <t>ДОГАДКА</t>
        </is>
      </c>
      <c r="F47" s="5" t="inlineStr">
        <is>
          <t>С 2022 закупка по рыночным ценам; цифру 2026 не нашли.</t>
        </is>
      </c>
    </row>
    <row r="48">
      <c r="A48" t="inlineStr">
        <is>
          <t>wheat_yield_t_ha</t>
        </is>
      </c>
      <c r="B48" t="inlineStr">
        <is>
          <t>Урожайность пшеницы фермера</t>
        </is>
      </c>
      <c r="C48" s="4" t="n">
        <v>6.5</v>
      </c>
      <c r="D48" t="inlineStr">
        <is>
          <t>т/га</t>
        </is>
      </c>
      <c r="E48" t="inlineStr">
        <is>
          <t>ДОГАДКА</t>
        </is>
      </c>
      <c r="F48" s="5" t="inlineStr"/>
    </row>
    <row r="49">
      <c r="A49" t="inlineStr">
        <is>
          <t>ground_spread_cost_ha</t>
        </is>
      </c>
      <c r="B49" t="inlineStr">
        <is>
          <t>Альтернатива фермера: трактор/вручную</t>
        </is>
      </c>
      <c r="C49" s="6" t="n">
        <v>100000</v>
      </c>
      <c r="D49" t="inlineStr">
        <is>
          <t>сум/га</t>
        </is>
      </c>
      <c r="E49" t="inlineStr">
        <is>
          <t>ДОГАДКА</t>
        </is>
      </c>
      <c r="F49" s="5" t="inlineStr">
        <is>
          <t>Ориентир РФ (Татарстан): ~300 руб/га ~ 45 тыс. сум. Местные МТП -- уточнить.</t>
        </is>
      </c>
    </row>
    <row r="50">
      <c r="A50" s="2" t="n"/>
      <c r="B50" s="3" t="inlineStr">
        <is>
          <t>КАЛИБРОВКА ПО ЖИДКОЙ ОБРАБОТКЕ</t>
        </is>
      </c>
      <c r="C50" s="2" t="n"/>
      <c r="D50" s="2" t="n"/>
      <c r="E50" s="2" t="n"/>
      <c r="F50" s="2" t="n"/>
    </row>
    <row r="51">
      <c r="A51" t="inlineStr">
        <is>
          <t>liq_ha_per_flight</t>
        </is>
      </c>
      <c r="B51" t="inlineStr">
        <is>
          <t>Гектаров за вылет при опрыскивании</t>
        </is>
      </c>
      <c r="C51" s="4" t="n">
        <v>1.2</v>
      </c>
      <c r="D51" t="inlineStr">
        <is>
          <t>га</t>
        </is>
      </c>
      <c r="E51" t="inlineStr">
        <is>
          <t>ФАКТ</t>
        </is>
      </c>
      <c r="F51" s="5" t="inlineStr">
        <is>
          <t>Данные вылетов: 1,0-1,25 га за вылет, 27-41 л/га.</t>
        </is>
      </c>
    </row>
    <row r="52">
      <c r="A52" t="inlineStr">
        <is>
          <t>liq_flight_min</t>
        </is>
      </c>
      <c r="B52" t="inlineStr">
        <is>
          <t>Длительность вылета при опрыскивании</t>
        </is>
      </c>
      <c r="C52" s="4" t="n">
        <v>6.5</v>
      </c>
      <c r="D52" t="inlineStr">
        <is>
          <t>мин</t>
        </is>
      </c>
      <c r="E52" t="inlineStr">
        <is>
          <t>ОЦЕНКА</t>
        </is>
      </c>
      <c r="F52" s="5" t="inlineStr"/>
    </row>
    <row r="53">
      <c r="A53" t="inlineStr">
        <is>
          <t>liq_refill_min</t>
        </is>
      </c>
      <c r="B53" t="inlineStr">
        <is>
          <t>Заправка раствора и смена батареи</t>
        </is>
      </c>
      <c r="C53" s="4" t="n">
        <v>2.5</v>
      </c>
      <c r="D53" t="inlineStr">
        <is>
          <t>мин</t>
        </is>
      </c>
      <c r="E53" t="inlineStr">
        <is>
          <t>ДОГАДКА</t>
        </is>
      </c>
      <c r="F53" s="5" t="inlineStr"/>
    </row>
    <row r="54">
      <c r="A54" t="inlineStr">
        <is>
          <t>liq_cycle_equiv_min</t>
        </is>
      </c>
      <c r="B54" t="inlineStr">
        <is>
          <t>Минут полёта на цикл батареи (опрыскивание)</t>
        </is>
      </c>
      <c r="C54" s="4" t="n">
        <v>10</v>
      </c>
      <c r="D54" t="inlineStr">
        <is>
          <t>мин</t>
        </is>
      </c>
      <c r="E54" t="inlineStr">
        <is>
          <t>ОЦЕНКА</t>
        </is>
      </c>
      <c r="F54" s="5" t="inlineStr">
        <is>
          <t>DJI: 7 мин висения при 90 кг.</t>
        </is>
      </c>
    </row>
    <row r="55">
      <c r="A55" s="2" t="n"/>
      <c r="B55" s="3" t="inlineStr">
        <is>
          <t>СЕЗОН</t>
        </is>
      </c>
      <c r="C55" s="2" t="n"/>
      <c r="D55" s="2" t="n"/>
      <c r="E55" s="2" t="n"/>
      <c r="F55" s="2" t="n"/>
    </row>
    <row r="56">
      <c r="A56" t="inlineStr">
        <is>
          <t>drones_in_winter</t>
        </is>
      </c>
      <c r="B56" t="inlineStr">
        <is>
          <t>Бортов в зимней работе</t>
        </is>
      </c>
      <c r="C56" s="4" t="n">
        <v>5</v>
      </c>
      <c r="D56" t="inlineStr">
        <is>
          <t>шт</t>
        </is>
      </c>
      <c r="E56" t="inlineStr">
        <is>
          <t>РЕШЕНИЕ</t>
        </is>
      </c>
      <c r="F56" s="5" t="inlineStr">
        <is>
          <t>Из 15 в парке.</t>
        </is>
      </c>
    </row>
    <row r="57">
      <c r="A57" t="inlineStr">
        <is>
          <t>spreaders_owned</t>
        </is>
      </c>
      <c r="B57" t="inlineStr">
        <is>
          <t>Разбрасывателей уже есть</t>
        </is>
      </c>
      <c r="C57" s="4" t="n">
        <v>1</v>
      </c>
      <c r="D57" t="inlineStr">
        <is>
          <t>шт</t>
        </is>
      </c>
      <c r="E57" t="inlineStr">
        <is>
          <t>ФАКТ</t>
        </is>
      </c>
      <c r="F57" s="5" t="inlineStr">
        <is>
          <t>Один тестовый бак.</t>
        </is>
      </c>
    </row>
    <row r="58">
      <c r="A58" t="inlineStr">
        <is>
          <t>season_one_time_other</t>
        </is>
      </c>
      <c r="B58" t="inlineStr">
        <is>
          <t>Разовые расходы сезона (обучение, демо, оснастка загрузки)</t>
        </is>
      </c>
      <c r="C58" s="6" t="n">
        <v>20000000</v>
      </c>
      <c r="D58" t="inlineStr">
        <is>
          <t>сум</t>
        </is>
      </c>
      <c r="E58" t="inlineStr">
        <is>
          <t>ДОГАДКА</t>
        </is>
      </c>
      <c r="F58" s="5" t="inlineStr"/>
    </row>
    <row r="60">
      <c r="B60" s="5" t="inlineStr">
        <is>
          <t>Жёлтые ячейки -- входы. Всё остальное в книге считается из них. Тип: ФАКТ -- с источником; ОЦЕНКА -- вывод из фактов; ДОГАДКА -- не проверено; РЕШЕНИЕ -- задаёт владелец.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</cols>
  <sheetData>
    <row r="1" ht="48" customHeight="1">
      <c r="A1" s="3" t="inlineStr">
        <is>
          <t>Сценарий</t>
        </is>
      </c>
      <c r="B1" s="2" t="inlineStr"/>
      <c r="C1" s="8" t="inlineStr">
        <is>
          <t>База 100 кг/га</t>
        </is>
      </c>
      <c r="D1" s="8" t="inlineStr">
        <is>
          <t>База 150 кг/га (карбамид)</t>
        </is>
      </c>
      <c r="E1" s="8" t="inlineStr">
        <is>
          <t>База 200 кг/га</t>
        </is>
      </c>
      <c r="F1" s="8" t="inlineStr">
        <is>
          <t>База 250 кг/га (селитра)</t>
        </is>
      </c>
      <c r="G1" s="8" t="inlineStr">
        <is>
          <t>Пессимистичный 250</t>
        </is>
      </c>
      <c r="H1" s="8" t="inlineStr">
        <is>
          <t>Оптимистичный 250</t>
        </is>
      </c>
      <c r="I1" s="8" t="inlineStr">
        <is>
          <t>Маржинальный 250 (пилот на окладе)</t>
        </is>
      </c>
      <c r="J1" s="8" t="inlineStr">
        <is>
          <t>Пессимистичный 150</t>
        </is>
      </c>
      <c r="K1" s="8" t="inlineStr">
        <is>
          <t>Оптимистичный 150</t>
        </is>
      </c>
      <c r="L1" s="8" t="inlineStr">
        <is>
          <t>Аэросев саксаула 4 кг/га (бак ~12 кг по объёму)</t>
        </is>
      </c>
      <c r="M1" s="8" t="inlineStr">
        <is>
          <t>Сев люцерны 15 кг/га</t>
        </is>
      </c>
      <c r="N1" s="8" t="inlineStr">
        <is>
          <t>Подсев озимых 60 кг/га</t>
        </is>
      </c>
      <c r="O1" s="8" t="inlineStr">
        <is>
          <t>Чувств. 250: эффективные часы x0.80</t>
        </is>
      </c>
      <c r="P1" s="8" t="inlineStr">
        <is>
          <t>Чувств. 250: эффективные часы x1.20</t>
        </is>
      </c>
      <c r="Q1" s="8" t="inlineStr">
        <is>
          <t>Чувств. 250: время загрузки x0.80</t>
        </is>
      </c>
      <c r="R1" s="8" t="inlineStr">
        <is>
          <t>Чувств. 250: время загрузки x1.20</t>
        </is>
      </c>
      <c r="S1" s="8" t="inlineStr">
        <is>
          <t>Чувств. 250: накладное время вылета x0.80</t>
        </is>
      </c>
      <c r="T1" s="8" t="inlineStr">
        <is>
          <t>Чувств. 250: накладное время вылета x1.20</t>
        </is>
      </c>
      <c r="U1" s="8" t="inlineStr">
        <is>
          <t>Чувств. 250: полезная нагрузка x0.90</t>
        </is>
      </c>
      <c r="V1" s="8" t="inlineStr">
        <is>
          <t>Чувств. 250: полезная нагрузка x1.10</t>
        </is>
      </c>
      <c r="W1" s="8" t="inlineStr">
        <is>
          <t>Чувств. 250: цена батареи x0.80</t>
        </is>
      </c>
      <c r="X1" s="8" t="inlineStr">
        <is>
          <t>Чувств. 250: цена батареи x1.20</t>
        </is>
      </c>
      <c r="Y1" s="8" t="inlineStr">
        <is>
          <t>Чувств. 250: оплата пилота x0.80</t>
        </is>
      </c>
      <c r="Z1" s="8" t="inlineStr">
        <is>
          <t>Чувств. 250: оплата пилота x1.20</t>
        </is>
      </c>
      <c r="AA1" s="8" t="inlineStr">
        <is>
          <t>Чувств. 250: цена бензина x0.80</t>
        </is>
      </c>
      <c r="AB1" s="8" t="inlineStr">
        <is>
          <t>Чувств. 250: цена бензина x1.20</t>
        </is>
      </c>
      <c r="AC1" s="8" t="inlineStr">
        <is>
          <t>Чувств. 250: ресурс батареи x0.80</t>
        </is>
      </c>
      <c r="AD1" s="8" t="inlineStr">
        <is>
          <t>Чувств. 250: ресурс батареи x1.20</t>
        </is>
      </c>
      <c r="AE1" s="8" t="inlineStr">
        <is>
          <t>Чувств. 250: рабочих дней в сезоне x0.80</t>
        </is>
      </c>
      <c r="AF1" s="8" t="inlineStr">
        <is>
          <t>Чувств. 250: рабочих дней в сезоне x1.20</t>
        </is>
      </c>
    </row>
    <row r="2">
      <c r="A2" t="inlineStr">
        <is>
          <t>Норма внесения</t>
        </is>
      </c>
      <c r="B2" t="inlineStr">
        <is>
          <t>кг/га</t>
        </is>
      </c>
      <c r="C2" s="4" t="n">
        <v>100</v>
      </c>
      <c r="D2" s="4" t="n">
        <v>150</v>
      </c>
      <c r="E2" s="4" t="n">
        <v>200</v>
      </c>
      <c r="F2" s="4" t="n">
        <v>250</v>
      </c>
      <c r="G2" s="4" t="n">
        <v>250</v>
      </c>
      <c r="H2" s="4" t="n">
        <v>250</v>
      </c>
      <c r="I2" s="4" t="n">
        <v>250</v>
      </c>
      <c r="J2" s="4" t="n">
        <v>150</v>
      </c>
      <c r="K2" s="4" t="n">
        <v>150</v>
      </c>
      <c r="L2" s="4" t="n">
        <v>4</v>
      </c>
      <c r="M2" s="4" t="n">
        <v>15</v>
      </c>
      <c r="N2" s="4" t="n">
        <v>60</v>
      </c>
      <c r="O2" s="4" t="n">
        <v>250</v>
      </c>
      <c r="P2" s="4" t="n">
        <v>250</v>
      </c>
      <c r="Q2" s="4" t="n">
        <v>250</v>
      </c>
      <c r="R2" s="4" t="n">
        <v>250</v>
      </c>
      <c r="S2" s="4" t="n">
        <v>250</v>
      </c>
      <c r="T2" s="4" t="n">
        <v>250</v>
      </c>
      <c r="U2" s="4" t="n">
        <v>250</v>
      </c>
      <c r="V2" s="4" t="n">
        <v>250</v>
      </c>
      <c r="W2" s="4" t="n">
        <v>250</v>
      </c>
      <c r="X2" s="4" t="n">
        <v>250</v>
      </c>
      <c r="Y2" s="4" t="n">
        <v>250</v>
      </c>
      <c r="Z2" s="4" t="n">
        <v>250</v>
      </c>
      <c r="AA2" s="4" t="n">
        <v>250</v>
      </c>
      <c r="AB2" s="4" t="n">
        <v>250</v>
      </c>
      <c r="AC2" s="4" t="n">
        <v>250</v>
      </c>
      <c r="AD2" s="4" t="n">
        <v>250</v>
      </c>
      <c r="AE2" s="4" t="n">
        <v>250</v>
      </c>
      <c r="AF2" s="4" t="n">
        <v>250</v>
      </c>
    </row>
    <row r="3">
      <c r="A3" t="inlineStr">
        <is>
          <t>Множитель: эффективные часы</t>
        </is>
      </c>
      <c r="B3" t="inlineStr">
        <is>
          <t>x</t>
        </is>
      </c>
      <c r="C3" s="7" t="n">
        <v>1</v>
      </c>
      <c r="D3" s="7" t="n">
        <v>1</v>
      </c>
      <c r="E3" s="7" t="n">
        <v>1</v>
      </c>
      <c r="F3" s="7" t="n">
        <v>1</v>
      </c>
      <c r="G3" s="7" t="n">
        <v>0.6666666666666666</v>
      </c>
      <c r="H3" s="7" t="n">
        <v>1.5</v>
      </c>
      <c r="I3" s="7" t="n">
        <v>1</v>
      </c>
      <c r="J3" s="7" t="n">
        <v>0.6666666666666666</v>
      </c>
      <c r="K3" s="7" t="n">
        <v>1.5</v>
      </c>
      <c r="L3" s="7" t="n">
        <v>1</v>
      </c>
      <c r="M3" s="7" t="n">
        <v>1</v>
      </c>
      <c r="N3" s="7" t="n">
        <v>1</v>
      </c>
      <c r="O3" s="7" t="n">
        <v>0.8</v>
      </c>
      <c r="P3" s="7" t="n">
        <v>1.2</v>
      </c>
      <c r="Q3" s="7" t="n">
        <v>1</v>
      </c>
      <c r="R3" s="7" t="n">
        <v>1</v>
      </c>
      <c r="S3" s="7" t="n">
        <v>1</v>
      </c>
      <c r="T3" s="7" t="n">
        <v>1</v>
      </c>
      <c r="U3" s="7" t="n">
        <v>1</v>
      </c>
      <c r="V3" s="7" t="n">
        <v>1</v>
      </c>
      <c r="W3" s="7" t="n">
        <v>1</v>
      </c>
      <c r="X3" s="7" t="n">
        <v>1</v>
      </c>
      <c r="Y3" s="7" t="n">
        <v>1</v>
      </c>
      <c r="Z3" s="7" t="n">
        <v>1</v>
      </c>
      <c r="AA3" s="7" t="n">
        <v>1</v>
      </c>
      <c r="AB3" s="7" t="n">
        <v>1</v>
      </c>
      <c r="AC3" s="7" t="n">
        <v>1</v>
      </c>
      <c r="AD3" s="7" t="n">
        <v>1</v>
      </c>
      <c r="AE3" s="7" t="n">
        <v>1</v>
      </c>
      <c r="AF3" s="7" t="n">
        <v>1</v>
      </c>
    </row>
    <row r="4">
      <c r="A4" t="inlineStr">
        <is>
          <t>Множитель: время загрузки</t>
        </is>
      </c>
      <c r="B4" t="inlineStr">
        <is>
          <t>x</t>
        </is>
      </c>
      <c r="C4" s="7" t="n">
        <v>1</v>
      </c>
      <c r="D4" s="7" t="n">
        <v>1</v>
      </c>
      <c r="E4" s="7" t="n">
        <v>1</v>
      </c>
      <c r="F4" s="7" t="n">
        <v>1</v>
      </c>
      <c r="G4" s="7" t="n">
        <v>2</v>
      </c>
      <c r="H4" s="7" t="n">
        <v>0.6666666666666666</v>
      </c>
      <c r="I4" s="7" t="n">
        <v>1</v>
      </c>
      <c r="J4" s="7" t="n">
        <v>2</v>
      </c>
      <c r="K4" s="7" t="n">
        <v>0.6666666666666666</v>
      </c>
      <c r="L4" s="7" t="n">
        <v>1</v>
      </c>
      <c r="M4" s="7" t="n">
        <v>1</v>
      </c>
      <c r="N4" s="7" t="n">
        <v>1</v>
      </c>
      <c r="O4" s="7" t="n">
        <v>1</v>
      </c>
      <c r="P4" s="7" t="n">
        <v>1</v>
      </c>
      <c r="Q4" s="7" t="n">
        <v>0.8</v>
      </c>
      <c r="R4" s="7" t="n">
        <v>1.2</v>
      </c>
      <c r="S4" s="7" t="n">
        <v>1</v>
      </c>
      <c r="T4" s="7" t="n">
        <v>1</v>
      </c>
      <c r="U4" s="7" t="n">
        <v>1</v>
      </c>
      <c r="V4" s="7" t="n">
        <v>1</v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7" t="n">
        <v>1</v>
      </c>
      <c r="AC4" s="7" t="n">
        <v>1</v>
      </c>
      <c r="AD4" s="7" t="n">
        <v>1</v>
      </c>
      <c r="AE4" s="7" t="n">
        <v>1</v>
      </c>
      <c r="AF4" s="7" t="n">
        <v>1</v>
      </c>
    </row>
    <row r="5">
      <c r="A5" t="inlineStr">
        <is>
          <t>Множитель: накладное время вылета</t>
        </is>
      </c>
      <c r="B5" t="inlineStr">
        <is>
          <t>x</t>
        </is>
      </c>
      <c r="C5" s="7" t="n">
        <v>1</v>
      </c>
      <c r="D5" s="7" t="n">
        <v>1</v>
      </c>
      <c r="E5" s="7" t="n">
        <v>1</v>
      </c>
      <c r="F5" s="7" t="n">
        <v>1</v>
      </c>
      <c r="G5" s="7" t="n">
        <v>1.333333333333333</v>
      </c>
      <c r="H5" s="7" t="n">
        <v>0.8</v>
      </c>
      <c r="I5" s="7" t="n">
        <v>1</v>
      </c>
      <c r="J5" s="7" t="n">
        <v>1.333333333333333</v>
      </c>
      <c r="K5" s="7" t="n">
        <v>0.8</v>
      </c>
      <c r="L5" s="7" t="n">
        <v>1</v>
      </c>
      <c r="M5" s="7" t="n">
        <v>1</v>
      </c>
      <c r="N5" s="7" t="n">
        <v>1</v>
      </c>
      <c r="O5" s="7" t="n">
        <v>1</v>
      </c>
      <c r="P5" s="7" t="n">
        <v>1</v>
      </c>
      <c r="Q5" s="7" t="n">
        <v>1</v>
      </c>
      <c r="R5" s="7" t="n">
        <v>1</v>
      </c>
      <c r="S5" s="7" t="n">
        <v>0.8</v>
      </c>
      <c r="T5" s="7" t="n">
        <v>1.2</v>
      </c>
      <c r="U5" s="7" t="n">
        <v>1</v>
      </c>
      <c r="V5" s="7" t="n">
        <v>1</v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7" t="n">
        <v>1</v>
      </c>
      <c r="AC5" s="7" t="n">
        <v>1</v>
      </c>
      <c r="AD5" s="7" t="n">
        <v>1</v>
      </c>
      <c r="AE5" s="7" t="n">
        <v>1</v>
      </c>
      <c r="AF5" s="7" t="n">
        <v>1</v>
      </c>
    </row>
    <row r="6">
      <c r="A6" t="inlineStr">
        <is>
          <t>Множитель: полезная нагрузка</t>
        </is>
      </c>
      <c r="B6" t="inlineStr">
        <is>
          <t>x</t>
        </is>
      </c>
      <c r="C6" s="7" t="n">
        <v>1</v>
      </c>
      <c r="D6" s="7" t="n">
        <v>1</v>
      </c>
      <c r="E6" s="7" t="n">
        <v>1</v>
      </c>
      <c r="F6" s="7" t="n">
        <v>1</v>
      </c>
      <c r="G6" s="7" t="n">
        <v>0.8888888888888888</v>
      </c>
      <c r="H6" s="7" t="n">
        <v>1.111111111111111</v>
      </c>
      <c r="I6" s="7" t="n">
        <v>1</v>
      </c>
      <c r="J6" s="7" t="n">
        <v>0.8888888888888888</v>
      </c>
      <c r="K6" s="7" t="n">
        <v>1.111111111111111</v>
      </c>
      <c r="L6" s="7" t="n">
        <v>0.2666666666666667</v>
      </c>
      <c r="M6" s="7" t="n">
        <v>1</v>
      </c>
      <c r="N6" s="7" t="n">
        <v>1</v>
      </c>
      <c r="O6" s="7" t="n">
        <v>1</v>
      </c>
      <c r="P6" s="7" t="n">
        <v>1</v>
      </c>
      <c r="Q6" s="7" t="n">
        <v>1</v>
      </c>
      <c r="R6" s="7" t="n">
        <v>1</v>
      </c>
      <c r="S6" s="7" t="n">
        <v>1</v>
      </c>
      <c r="T6" s="7" t="n">
        <v>1</v>
      </c>
      <c r="U6" s="7" t="n">
        <v>0.9</v>
      </c>
      <c r="V6" s="7" t="n">
        <v>1.1</v>
      </c>
      <c r="W6" s="7" t="n">
        <v>1</v>
      </c>
      <c r="X6" s="7" t="n">
        <v>1</v>
      </c>
      <c r="Y6" s="7" t="n">
        <v>1</v>
      </c>
      <c r="Z6" s="7" t="n">
        <v>1</v>
      </c>
      <c r="AA6" s="7" t="n">
        <v>1</v>
      </c>
      <c r="AB6" s="7" t="n">
        <v>1</v>
      </c>
      <c r="AC6" s="7" t="n">
        <v>1</v>
      </c>
      <c r="AD6" s="7" t="n">
        <v>1</v>
      </c>
      <c r="AE6" s="7" t="n">
        <v>1</v>
      </c>
      <c r="AF6" s="7" t="n">
        <v>1</v>
      </c>
    </row>
    <row r="7">
      <c r="A7" t="inlineStr">
        <is>
          <t>Множитель: цена батареи</t>
        </is>
      </c>
      <c r="B7" t="inlineStr">
        <is>
          <t>x</t>
        </is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>
        <v>1</v>
      </c>
      <c r="J7" s="7" t="n">
        <v>1</v>
      </c>
      <c r="K7" s="7" t="n">
        <v>1</v>
      </c>
      <c r="L7" s="7" t="n">
        <v>1</v>
      </c>
      <c r="M7" s="7" t="n">
        <v>1</v>
      </c>
      <c r="N7" s="7" t="n">
        <v>1</v>
      </c>
      <c r="O7" s="7" t="n">
        <v>1</v>
      </c>
      <c r="P7" s="7" t="n">
        <v>1</v>
      </c>
      <c r="Q7" s="7" t="n">
        <v>1</v>
      </c>
      <c r="R7" s="7" t="n">
        <v>1</v>
      </c>
      <c r="S7" s="7" t="n">
        <v>1</v>
      </c>
      <c r="T7" s="7" t="n">
        <v>1</v>
      </c>
      <c r="U7" s="7" t="n">
        <v>1</v>
      </c>
      <c r="V7" s="7" t="n">
        <v>1</v>
      </c>
      <c r="W7" s="7" t="n">
        <v>0.8</v>
      </c>
      <c r="X7" s="7" t="n">
        <v>1.2</v>
      </c>
      <c r="Y7" s="7" t="n">
        <v>1</v>
      </c>
      <c r="Z7" s="7" t="n">
        <v>1</v>
      </c>
      <c r="AA7" s="7" t="n">
        <v>1</v>
      </c>
      <c r="AB7" s="7" t="n">
        <v>1</v>
      </c>
      <c r="AC7" s="7" t="n">
        <v>1</v>
      </c>
      <c r="AD7" s="7" t="n">
        <v>1</v>
      </c>
      <c r="AE7" s="7" t="n">
        <v>1</v>
      </c>
      <c r="AF7" s="7" t="n">
        <v>1</v>
      </c>
    </row>
    <row r="8">
      <c r="A8" t="inlineStr">
        <is>
          <t>Множитель: оплата пилота</t>
        </is>
      </c>
      <c r="B8" t="inlineStr">
        <is>
          <t>x</t>
        </is>
      </c>
      <c r="C8" s="7" t="n">
        <v>1</v>
      </c>
      <c r="D8" s="7" t="n">
        <v>1</v>
      </c>
      <c r="E8" s="7" t="n">
        <v>1</v>
      </c>
      <c r="F8" s="7" t="n">
        <v>1</v>
      </c>
      <c r="G8" s="7" t="n">
        <v>1</v>
      </c>
      <c r="H8" s="7" t="n">
        <v>1</v>
      </c>
      <c r="I8" s="7" t="n">
        <v>0.4</v>
      </c>
      <c r="J8" s="7" t="n">
        <v>1</v>
      </c>
      <c r="K8" s="7" t="n">
        <v>1</v>
      </c>
      <c r="L8" s="7" t="n">
        <v>1</v>
      </c>
      <c r="M8" s="7" t="n">
        <v>1</v>
      </c>
      <c r="N8" s="7" t="n">
        <v>1</v>
      </c>
      <c r="O8" s="7" t="n">
        <v>1</v>
      </c>
      <c r="P8" s="7" t="n">
        <v>1</v>
      </c>
      <c r="Q8" s="7" t="n">
        <v>1</v>
      </c>
      <c r="R8" s="7" t="n">
        <v>1</v>
      </c>
      <c r="S8" s="7" t="n">
        <v>1</v>
      </c>
      <c r="T8" s="7" t="n">
        <v>1</v>
      </c>
      <c r="U8" s="7" t="n">
        <v>1</v>
      </c>
      <c r="V8" s="7" t="n">
        <v>1</v>
      </c>
      <c r="W8" s="7" t="n">
        <v>1</v>
      </c>
      <c r="X8" s="7" t="n">
        <v>1</v>
      </c>
      <c r="Y8" s="7" t="n">
        <v>0.8</v>
      </c>
      <c r="Z8" s="7" t="n">
        <v>1.2</v>
      </c>
      <c r="AA8" s="7" t="n">
        <v>1</v>
      </c>
      <c r="AB8" s="7" t="n">
        <v>1</v>
      </c>
      <c r="AC8" s="7" t="n">
        <v>1</v>
      </c>
      <c r="AD8" s="7" t="n">
        <v>1</v>
      </c>
      <c r="AE8" s="7" t="n">
        <v>1</v>
      </c>
      <c r="AF8" s="7" t="n">
        <v>1</v>
      </c>
    </row>
    <row r="9">
      <c r="A9" t="inlineStr">
        <is>
          <t>Множитель: цена бензина</t>
        </is>
      </c>
      <c r="B9" t="inlineStr">
        <is>
          <t>x</t>
        </is>
      </c>
      <c r="C9" s="7" t="n">
        <v>1</v>
      </c>
      <c r="D9" s="7" t="n">
        <v>1</v>
      </c>
      <c r="E9" s="7" t="n">
        <v>1</v>
      </c>
      <c r="F9" s="7" t="n">
        <v>1</v>
      </c>
      <c r="G9" s="7" t="n">
        <v>1</v>
      </c>
      <c r="H9" s="7" t="n">
        <v>1</v>
      </c>
      <c r="I9" s="7" t="n">
        <v>1</v>
      </c>
      <c r="J9" s="7" t="n">
        <v>1</v>
      </c>
      <c r="K9" s="7" t="n">
        <v>1</v>
      </c>
      <c r="L9" s="7" t="n">
        <v>1</v>
      </c>
      <c r="M9" s="7" t="n">
        <v>1</v>
      </c>
      <c r="N9" s="7" t="n">
        <v>1</v>
      </c>
      <c r="O9" s="7" t="n">
        <v>1</v>
      </c>
      <c r="P9" s="7" t="n">
        <v>1</v>
      </c>
      <c r="Q9" s="7" t="n">
        <v>1</v>
      </c>
      <c r="R9" s="7" t="n">
        <v>1</v>
      </c>
      <c r="S9" s="7" t="n">
        <v>1</v>
      </c>
      <c r="T9" s="7" t="n">
        <v>1</v>
      </c>
      <c r="U9" s="7" t="n">
        <v>1</v>
      </c>
      <c r="V9" s="7" t="n">
        <v>1</v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0.8</v>
      </c>
      <c r="AB9" s="7" t="n">
        <v>1.2</v>
      </c>
      <c r="AC9" s="7" t="n">
        <v>1</v>
      </c>
      <c r="AD9" s="7" t="n">
        <v>1</v>
      </c>
      <c r="AE9" s="7" t="n">
        <v>1</v>
      </c>
      <c r="AF9" s="7" t="n">
        <v>1</v>
      </c>
    </row>
    <row r="10">
      <c r="A10" t="inlineStr">
        <is>
          <t>Множитель: ресурс батареи</t>
        </is>
      </c>
      <c r="B10" t="inlineStr">
        <is>
          <t>x</t>
        </is>
      </c>
      <c r="C10" s="7" t="n">
        <v>1</v>
      </c>
      <c r="D10" s="7" t="n">
        <v>1</v>
      </c>
      <c r="E10" s="7" t="n">
        <v>1</v>
      </c>
      <c r="F10" s="7" t="n">
        <v>1</v>
      </c>
      <c r="G10" s="7" t="n">
        <v>1</v>
      </c>
      <c r="H10" s="7" t="n">
        <v>1</v>
      </c>
      <c r="I10" s="7" t="n">
        <v>1</v>
      </c>
      <c r="J10" s="7" t="n">
        <v>1</v>
      </c>
      <c r="K10" s="7" t="n">
        <v>1</v>
      </c>
      <c r="L10" s="7" t="n">
        <v>1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1</v>
      </c>
      <c r="R10" s="7" t="n">
        <v>1</v>
      </c>
      <c r="S10" s="7" t="n">
        <v>1</v>
      </c>
      <c r="T10" s="7" t="n">
        <v>1</v>
      </c>
      <c r="U10" s="7" t="n">
        <v>1</v>
      </c>
      <c r="V10" s="7" t="n">
        <v>1</v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7" t="n">
        <v>1</v>
      </c>
      <c r="AC10" s="7" t="n">
        <v>0.8</v>
      </c>
      <c r="AD10" s="7" t="n">
        <v>1.2</v>
      </c>
      <c r="AE10" s="7" t="n">
        <v>1</v>
      </c>
      <c r="AF10" s="7" t="n">
        <v>1</v>
      </c>
    </row>
    <row r="11">
      <c r="A11" t="inlineStr">
        <is>
          <t>Множитель: рабочих дней в сезоне</t>
        </is>
      </c>
      <c r="B11" t="inlineStr">
        <is>
          <t>x</t>
        </is>
      </c>
      <c r="C11" s="7" t="n">
        <v>1</v>
      </c>
      <c r="D11" s="7" t="n">
        <v>1</v>
      </c>
      <c r="E11" s="7" t="n">
        <v>1</v>
      </c>
      <c r="F11" s="7" t="n">
        <v>1</v>
      </c>
      <c r="G11" s="7" t="n">
        <v>1</v>
      </c>
      <c r="H11" s="7" t="n">
        <v>1</v>
      </c>
      <c r="I11" s="7" t="n">
        <v>1</v>
      </c>
      <c r="J11" s="7" t="n">
        <v>1</v>
      </c>
      <c r="K11" s="7" t="n">
        <v>1</v>
      </c>
      <c r="L11" s="7" t="n">
        <v>1</v>
      </c>
      <c r="M11" s="7" t="n">
        <v>1</v>
      </c>
      <c r="N11" s="7" t="n">
        <v>1</v>
      </c>
      <c r="O11" s="7" t="n">
        <v>1</v>
      </c>
      <c r="P11" s="7" t="n">
        <v>1</v>
      </c>
      <c r="Q11" s="7" t="n">
        <v>1</v>
      </c>
      <c r="R11" s="7" t="n">
        <v>1</v>
      </c>
      <c r="S11" s="7" t="n">
        <v>1</v>
      </c>
      <c r="T11" s="7" t="n">
        <v>1</v>
      </c>
      <c r="U11" s="7" t="n">
        <v>1</v>
      </c>
      <c r="V11" s="7" t="n">
        <v>1</v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7" t="n">
        <v>1</v>
      </c>
      <c r="AC11" s="7" t="n">
        <v>1</v>
      </c>
      <c r="AD11" s="7" t="n">
        <v>1</v>
      </c>
      <c r="AE11" s="7" t="n">
        <v>0.8</v>
      </c>
      <c r="AF11" s="7" t="n">
        <v>1.2</v>
      </c>
    </row>
    <row r="12">
      <c r="A12" t="inlineStr">
        <is>
          <t>Множитель: ширина захвата</t>
        </is>
      </c>
      <c r="B12" t="inlineStr">
        <is>
          <t>x</t>
        </is>
      </c>
      <c r="C12" s="7" t="n">
        <v>1</v>
      </c>
      <c r="D12" s="7" t="n">
        <v>1</v>
      </c>
      <c r="E12" s="7" t="n">
        <v>1</v>
      </c>
      <c r="F12" s="7" t="n">
        <v>1</v>
      </c>
      <c r="G12" s="7" t="n">
        <v>1</v>
      </c>
      <c r="H12" s="7" t="n">
        <v>1</v>
      </c>
      <c r="I12" s="7" t="n">
        <v>1</v>
      </c>
      <c r="J12" s="7" t="n">
        <v>1</v>
      </c>
      <c r="K12" s="7" t="n">
        <v>1</v>
      </c>
      <c r="L12" s="7" t="n">
        <v>1</v>
      </c>
      <c r="M12" s="7" t="n">
        <v>1</v>
      </c>
      <c r="N12" s="7" t="n">
        <v>1</v>
      </c>
      <c r="O12" s="7" t="n">
        <v>1</v>
      </c>
      <c r="P12" s="7" t="n">
        <v>1</v>
      </c>
      <c r="Q12" s="7" t="n">
        <v>1</v>
      </c>
      <c r="R12" s="7" t="n">
        <v>1</v>
      </c>
      <c r="S12" s="7" t="n">
        <v>1</v>
      </c>
      <c r="T12" s="7" t="n">
        <v>1</v>
      </c>
      <c r="U12" s="7" t="n">
        <v>1</v>
      </c>
      <c r="V12" s="7" t="n">
        <v>1</v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7" t="n">
        <v>1</v>
      </c>
      <c r="AC12" s="7" t="n">
        <v>1</v>
      </c>
      <c r="AD12" s="7" t="n">
        <v>1</v>
      </c>
      <c r="AE12" s="7" t="n">
        <v>1</v>
      </c>
      <c r="AF12" s="7" t="n">
        <v>1</v>
      </c>
    </row>
    <row r="13">
      <c r="A13" t="inlineStr">
        <is>
          <t>Множитель: скорость</t>
        </is>
      </c>
      <c r="B13" t="inlineStr">
        <is>
          <t>x</t>
        </is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1</v>
      </c>
      <c r="Q13" s="7" t="n">
        <v>1</v>
      </c>
      <c r="R13" s="7" t="n">
        <v>1</v>
      </c>
      <c r="S13" s="7" t="n">
        <v>1</v>
      </c>
      <c r="T13" s="7" t="n">
        <v>1</v>
      </c>
      <c r="U13" s="7" t="n">
        <v>1</v>
      </c>
      <c r="V13" s="7" t="n">
        <v>1</v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7" t="n">
        <v>1</v>
      </c>
      <c r="AC13" s="7" t="n">
        <v>1</v>
      </c>
      <c r="AD13" s="7" t="n">
        <v>1</v>
      </c>
      <c r="AE13" s="7" t="n">
        <v>1</v>
      </c>
      <c r="AF13" s="7" t="n">
        <v>1</v>
      </c>
    </row>
    <row r="14">
      <c r="A14" s="3" t="inlineStr">
        <is>
          <t>ДЕЙСТВУЮЩИЕ ВХОДЫ СЦЕНАРИЯ</t>
        </is>
      </c>
      <c r="B14" s="2" t="inlineStr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</row>
    <row r="15">
      <c r="A15" t="inlineStr">
        <is>
          <t>Полезная нагрузка</t>
        </is>
      </c>
      <c r="B15" t="inlineStr">
        <is>
          <t>кг</t>
        </is>
      </c>
      <c r="C15" s="9">
        <f>payload_kg*C6</f>
        <v/>
      </c>
      <c r="D15" s="9">
        <f>payload_kg*D6</f>
        <v/>
      </c>
      <c r="E15" s="9">
        <f>payload_kg*E6</f>
        <v/>
      </c>
      <c r="F15" s="9">
        <f>payload_kg*F6</f>
        <v/>
      </c>
      <c r="G15" s="9">
        <f>payload_kg*G6</f>
        <v/>
      </c>
      <c r="H15" s="9">
        <f>payload_kg*H6</f>
        <v/>
      </c>
      <c r="I15" s="9">
        <f>payload_kg*I6</f>
        <v/>
      </c>
      <c r="J15" s="9">
        <f>payload_kg*J6</f>
        <v/>
      </c>
      <c r="K15" s="9">
        <f>payload_kg*K6</f>
        <v/>
      </c>
      <c r="L15" s="9">
        <f>payload_kg*L6</f>
        <v/>
      </c>
      <c r="M15" s="9">
        <f>payload_kg*M6</f>
        <v/>
      </c>
      <c r="N15" s="9">
        <f>payload_kg*N6</f>
        <v/>
      </c>
      <c r="O15" s="9">
        <f>payload_kg*O6</f>
        <v/>
      </c>
      <c r="P15" s="9">
        <f>payload_kg*P6</f>
        <v/>
      </c>
      <c r="Q15" s="9">
        <f>payload_kg*Q6</f>
        <v/>
      </c>
      <c r="R15" s="9">
        <f>payload_kg*R6</f>
        <v/>
      </c>
      <c r="S15" s="9">
        <f>payload_kg*S6</f>
        <v/>
      </c>
      <c r="T15" s="9">
        <f>payload_kg*T6</f>
        <v/>
      </c>
      <c r="U15" s="9">
        <f>payload_kg*U6</f>
        <v/>
      </c>
      <c r="V15" s="9">
        <f>payload_kg*V6</f>
        <v/>
      </c>
      <c r="W15" s="9">
        <f>payload_kg*W6</f>
        <v/>
      </c>
      <c r="X15" s="9">
        <f>payload_kg*X6</f>
        <v/>
      </c>
      <c r="Y15" s="9">
        <f>payload_kg*Y6</f>
        <v/>
      </c>
      <c r="Z15" s="9">
        <f>payload_kg*Z6</f>
        <v/>
      </c>
      <c r="AA15" s="9">
        <f>payload_kg*AA6</f>
        <v/>
      </c>
      <c r="AB15" s="9">
        <f>payload_kg*AB6</f>
        <v/>
      </c>
      <c r="AC15" s="9">
        <f>payload_kg*AC6</f>
        <v/>
      </c>
      <c r="AD15" s="9">
        <f>payload_kg*AD6</f>
        <v/>
      </c>
      <c r="AE15" s="9">
        <f>payload_kg*AE6</f>
        <v/>
      </c>
      <c r="AF15" s="9">
        <f>payload_kg*AF6</f>
        <v/>
      </c>
    </row>
    <row r="16">
      <c r="A16" t="inlineStr">
        <is>
          <t>Эффективное лётное время</t>
        </is>
      </c>
      <c r="B16" t="inlineStr">
        <is>
          <t>ч/день</t>
        </is>
      </c>
      <c r="C16" s="9">
        <f>eff_hours_per_day*C3</f>
        <v/>
      </c>
      <c r="D16" s="9">
        <f>eff_hours_per_day*D3</f>
        <v/>
      </c>
      <c r="E16" s="9">
        <f>eff_hours_per_day*E3</f>
        <v/>
      </c>
      <c r="F16" s="9">
        <f>eff_hours_per_day*F3</f>
        <v/>
      </c>
      <c r="G16" s="9">
        <f>eff_hours_per_day*G3</f>
        <v/>
      </c>
      <c r="H16" s="9">
        <f>eff_hours_per_day*H3</f>
        <v/>
      </c>
      <c r="I16" s="9">
        <f>eff_hours_per_day*I3</f>
        <v/>
      </c>
      <c r="J16" s="9">
        <f>eff_hours_per_day*J3</f>
        <v/>
      </c>
      <c r="K16" s="9">
        <f>eff_hours_per_day*K3</f>
        <v/>
      </c>
      <c r="L16" s="9">
        <f>eff_hours_per_day*L3</f>
        <v/>
      </c>
      <c r="M16" s="9">
        <f>eff_hours_per_day*M3</f>
        <v/>
      </c>
      <c r="N16" s="9">
        <f>eff_hours_per_day*N3</f>
        <v/>
      </c>
      <c r="O16" s="9">
        <f>eff_hours_per_day*O3</f>
        <v/>
      </c>
      <c r="P16" s="9">
        <f>eff_hours_per_day*P3</f>
        <v/>
      </c>
      <c r="Q16" s="9">
        <f>eff_hours_per_day*Q3</f>
        <v/>
      </c>
      <c r="R16" s="9">
        <f>eff_hours_per_day*R3</f>
        <v/>
      </c>
      <c r="S16" s="9">
        <f>eff_hours_per_day*S3</f>
        <v/>
      </c>
      <c r="T16" s="9">
        <f>eff_hours_per_day*T3</f>
        <v/>
      </c>
      <c r="U16" s="9">
        <f>eff_hours_per_day*U3</f>
        <v/>
      </c>
      <c r="V16" s="9">
        <f>eff_hours_per_day*V3</f>
        <v/>
      </c>
      <c r="W16" s="9">
        <f>eff_hours_per_day*W3</f>
        <v/>
      </c>
      <c r="X16" s="9">
        <f>eff_hours_per_day*X3</f>
        <v/>
      </c>
      <c r="Y16" s="9">
        <f>eff_hours_per_day*Y3</f>
        <v/>
      </c>
      <c r="Z16" s="9">
        <f>eff_hours_per_day*Z3</f>
        <v/>
      </c>
      <c r="AA16" s="9">
        <f>eff_hours_per_day*AA3</f>
        <v/>
      </c>
      <c r="AB16" s="9">
        <f>eff_hours_per_day*AB3</f>
        <v/>
      </c>
      <c r="AC16" s="9">
        <f>eff_hours_per_day*AC3</f>
        <v/>
      </c>
      <c r="AD16" s="9">
        <f>eff_hours_per_day*AD3</f>
        <v/>
      </c>
      <c r="AE16" s="9">
        <f>eff_hours_per_day*AE3</f>
        <v/>
      </c>
      <c r="AF16" s="9">
        <f>eff_hours_per_day*AF3</f>
        <v/>
      </c>
    </row>
    <row r="17">
      <c r="A17" t="inlineStr">
        <is>
          <t>Загрузка и смена батареи</t>
        </is>
      </c>
      <c r="B17" t="inlineStr">
        <is>
          <t>мин</t>
        </is>
      </c>
      <c r="C17" s="9">
        <f>reload_min*C4</f>
        <v/>
      </c>
      <c r="D17" s="9">
        <f>reload_min*D4</f>
        <v/>
      </c>
      <c r="E17" s="9">
        <f>reload_min*E4</f>
        <v/>
      </c>
      <c r="F17" s="9">
        <f>reload_min*F4</f>
        <v/>
      </c>
      <c r="G17" s="9">
        <f>reload_min*G4</f>
        <v/>
      </c>
      <c r="H17" s="9">
        <f>reload_min*H4</f>
        <v/>
      </c>
      <c r="I17" s="9">
        <f>reload_min*I4</f>
        <v/>
      </c>
      <c r="J17" s="9">
        <f>reload_min*J4</f>
        <v/>
      </c>
      <c r="K17" s="9">
        <f>reload_min*K4</f>
        <v/>
      </c>
      <c r="L17" s="9">
        <f>reload_min*L4</f>
        <v/>
      </c>
      <c r="M17" s="9">
        <f>reload_min*M4</f>
        <v/>
      </c>
      <c r="N17" s="9">
        <f>reload_min*N4</f>
        <v/>
      </c>
      <c r="O17" s="9">
        <f>reload_min*O4</f>
        <v/>
      </c>
      <c r="P17" s="9">
        <f>reload_min*P4</f>
        <v/>
      </c>
      <c r="Q17" s="9">
        <f>reload_min*Q4</f>
        <v/>
      </c>
      <c r="R17" s="9">
        <f>reload_min*R4</f>
        <v/>
      </c>
      <c r="S17" s="9">
        <f>reload_min*S4</f>
        <v/>
      </c>
      <c r="T17" s="9">
        <f>reload_min*T4</f>
        <v/>
      </c>
      <c r="U17" s="9">
        <f>reload_min*U4</f>
        <v/>
      </c>
      <c r="V17" s="9">
        <f>reload_min*V4</f>
        <v/>
      </c>
      <c r="W17" s="9">
        <f>reload_min*W4</f>
        <v/>
      </c>
      <c r="X17" s="9">
        <f>reload_min*X4</f>
        <v/>
      </c>
      <c r="Y17" s="9">
        <f>reload_min*Y4</f>
        <v/>
      </c>
      <c r="Z17" s="9">
        <f>reload_min*Z4</f>
        <v/>
      </c>
      <c r="AA17" s="9">
        <f>reload_min*AA4</f>
        <v/>
      </c>
      <c r="AB17" s="9">
        <f>reload_min*AB4</f>
        <v/>
      </c>
      <c r="AC17" s="9">
        <f>reload_min*AC4</f>
        <v/>
      </c>
      <c r="AD17" s="9">
        <f>reload_min*AD4</f>
        <v/>
      </c>
      <c r="AE17" s="9">
        <f>reload_min*AE4</f>
        <v/>
      </c>
      <c r="AF17" s="9">
        <f>reload_min*AF4</f>
        <v/>
      </c>
    </row>
    <row r="18">
      <c r="A18" t="inlineStr">
        <is>
          <t>Накладное время вылета</t>
        </is>
      </c>
      <c r="B18" t="inlineStr">
        <is>
          <t>мин</t>
        </is>
      </c>
      <c r="C18" s="9">
        <f>overhead_min*C5</f>
        <v/>
      </c>
      <c r="D18" s="9">
        <f>overhead_min*D5</f>
        <v/>
      </c>
      <c r="E18" s="9">
        <f>overhead_min*E5</f>
        <v/>
      </c>
      <c r="F18" s="9">
        <f>overhead_min*F5</f>
        <v/>
      </c>
      <c r="G18" s="9">
        <f>overhead_min*G5</f>
        <v/>
      </c>
      <c r="H18" s="9">
        <f>overhead_min*H5</f>
        <v/>
      </c>
      <c r="I18" s="9">
        <f>overhead_min*I5</f>
        <v/>
      </c>
      <c r="J18" s="9">
        <f>overhead_min*J5</f>
        <v/>
      </c>
      <c r="K18" s="9">
        <f>overhead_min*K5</f>
        <v/>
      </c>
      <c r="L18" s="9">
        <f>overhead_min*L5</f>
        <v/>
      </c>
      <c r="M18" s="9">
        <f>overhead_min*M5</f>
        <v/>
      </c>
      <c r="N18" s="9">
        <f>overhead_min*N5</f>
        <v/>
      </c>
      <c r="O18" s="9">
        <f>overhead_min*O5</f>
        <v/>
      </c>
      <c r="P18" s="9">
        <f>overhead_min*P5</f>
        <v/>
      </c>
      <c r="Q18" s="9">
        <f>overhead_min*Q5</f>
        <v/>
      </c>
      <c r="R18" s="9">
        <f>overhead_min*R5</f>
        <v/>
      </c>
      <c r="S18" s="9">
        <f>overhead_min*S5</f>
        <v/>
      </c>
      <c r="T18" s="9">
        <f>overhead_min*T5</f>
        <v/>
      </c>
      <c r="U18" s="9">
        <f>overhead_min*U5</f>
        <v/>
      </c>
      <c r="V18" s="9">
        <f>overhead_min*V5</f>
        <v/>
      </c>
      <c r="W18" s="9">
        <f>overhead_min*W5</f>
        <v/>
      </c>
      <c r="X18" s="9">
        <f>overhead_min*X5</f>
        <v/>
      </c>
      <c r="Y18" s="9">
        <f>overhead_min*Y5</f>
        <v/>
      </c>
      <c r="Z18" s="9">
        <f>overhead_min*Z5</f>
        <v/>
      </c>
      <c r="AA18" s="9">
        <f>overhead_min*AA5</f>
        <v/>
      </c>
      <c r="AB18" s="9">
        <f>overhead_min*AB5</f>
        <v/>
      </c>
      <c r="AC18" s="9">
        <f>overhead_min*AC5</f>
        <v/>
      </c>
      <c r="AD18" s="9">
        <f>overhead_min*AD5</f>
        <v/>
      </c>
      <c r="AE18" s="9">
        <f>overhead_min*AE5</f>
        <v/>
      </c>
      <c r="AF18" s="9">
        <f>overhead_min*AF5</f>
        <v/>
      </c>
    </row>
    <row r="19">
      <c r="A19" t="inlineStr">
        <is>
          <t>Цена батареи</t>
        </is>
      </c>
      <c r="B19" t="inlineStr">
        <is>
          <t>USD</t>
        </is>
      </c>
      <c r="C19" s="10">
        <f>battery_price_usd*C7</f>
        <v/>
      </c>
      <c r="D19" s="10">
        <f>battery_price_usd*D7</f>
        <v/>
      </c>
      <c r="E19" s="10">
        <f>battery_price_usd*E7</f>
        <v/>
      </c>
      <c r="F19" s="10">
        <f>battery_price_usd*F7</f>
        <v/>
      </c>
      <c r="G19" s="10">
        <f>battery_price_usd*G7</f>
        <v/>
      </c>
      <c r="H19" s="10">
        <f>battery_price_usd*H7</f>
        <v/>
      </c>
      <c r="I19" s="10">
        <f>battery_price_usd*I7</f>
        <v/>
      </c>
      <c r="J19" s="10">
        <f>battery_price_usd*J7</f>
        <v/>
      </c>
      <c r="K19" s="10">
        <f>battery_price_usd*K7</f>
        <v/>
      </c>
      <c r="L19" s="10">
        <f>battery_price_usd*L7</f>
        <v/>
      </c>
      <c r="M19" s="10">
        <f>battery_price_usd*M7</f>
        <v/>
      </c>
      <c r="N19" s="10">
        <f>battery_price_usd*N7</f>
        <v/>
      </c>
      <c r="O19" s="10">
        <f>battery_price_usd*O7</f>
        <v/>
      </c>
      <c r="P19" s="10">
        <f>battery_price_usd*P7</f>
        <v/>
      </c>
      <c r="Q19" s="10">
        <f>battery_price_usd*Q7</f>
        <v/>
      </c>
      <c r="R19" s="10">
        <f>battery_price_usd*R7</f>
        <v/>
      </c>
      <c r="S19" s="10">
        <f>battery_price_usd*S7</f>
        <v/>
      </c>
      <c r="T19" s="10">
        <f>battery_price_usd*T7</f>
        <v/>
      </c>
      <c r="U19" s="10">
        <f>battery_price_usd*U7</f>
        <v/>
      </c>
      <c r="V19" s="10">
        <f>battery_price_usd*V7</f>
        <v/>
      </c>
      <c r="W19" s="10">
        <f>battery_price_usd*W7</f>
        <v/>
      </c>
      <c r="X19" s="10">
        <f>battery_price_usd*X7</f>
        <v/>
      </c>
      <c r="Y19" s="10">
        <f>battery_price_usd*Y7</f>
        <v/>
      </c>
      <c r="Z19" s="10">
        <f>battery_price_usd*Z7</f>
        <v/>
      </c>
      <c r="AA19" s="10">
        <f>battery_price_usd*AA7</f>
        <v/>
      </c>
      <c r="AB19" s="10">
        <f>battery_price_usd*AB7</f>
        <v/>
      </c>
      <c r="AC19" s="10">
        <f>battery_price_usd*AC7</f>
        <v/>
      </c>
      <c r="AD19" s="10">
        <f>battery_price_usd*AD7</f>
        <v/>
      </c>
      <c r="AE19" s="10">
        <f>battery_price_usd*AE7</f>
        <v/>
      </c>
      <c r="AF19" s="10">
        <f>battery_price_usd*AF7</f>
        <v/>
      </c>
    </row>
    <row r="20">
      <c r="A20" t="inlineStr">
        <is>
          <t>Оплата пилота</t>
        </is>
      </c>
      <c r="B20" t="inlineStr">
        <is>
          <t>сум/день</t>
        </is>
      </c>
      <c r="C20" s="10">
        <f>pilot_day*C8</f>
        <v/>
      </c>
      <c r="D20" s="10">
        <f>pilot_day*D8</f>
        <v/>
      </c>
      <c r="E20" s="10">
        <f>pilot_day*E8</f>
        <v/>
      </c>
      <c r="F20" s="10">
        <f>pilot_day*F8</f>
        <v/>
      </c>
      <c r="G20" s="10">
        <f>pilot_day*G8</f>
        <v/>
      </c>
      <c r="H20" s="10">
        <f>pilot_day*H8</f>
        <v/>
      </c>
      <c r="I20" s="10">
        <f>pilot_day*I8</f>
        <v/>
      </c>
      <c r="J20" s="10">
        <f>pilot_day*J8</f>
        <v/>
      </c>
      <c r="K20" s="10">
        <f>pilot_day*K8</f>
        <v/>
      </c>
      <c r="L20" s="10">
        <f>pilot_day*L8</f>
        <v/>
      </c>
      <c r="M20" s="10">
        <f>pilot_day*M8</f>
        <v/>
      </c>
      <c r="N20" s="10">
        <f>pilot_day*N8</f>
        <v/>
      </c>
      <c r="O20" s="10">
        <f>pilot_day*O8</f>
        <v/>
      </c>
      <c r="P20" s="10">
        <f>pilot_day*P8</f>
        <v/>
      </c>
      <c r="Q20" s="10">
        <f>pilot_day*Q8</f>
        <v/>
      </c>
      <c r="R20" s="10">
        <f>pilot_day*R8</f>
        <v/>
      </c>
      <c r="S20" s="10">
        <f>pilot_day*S8</f>
        <v/>
      </c>
      <c r="T20" s="10">
        <f>pilot_day*T8</f>
        <v/>
      </c>
      <c r="U20" s="10">
        <f>pilot_day*U8</f>
        <v/>
      </c>
      <c r="V20" s="10">
        <f>pilot_day*V8</f>
        <v/>
      </c>
      <c r="W20" s="10">
        <f>pilot_day*W8</f>
        <v/>
      </c>
      <c r="X20" s="10">
        <f>pilot_day*X8</f>
        <v/>
      </c>
      <c r="Y20" s="10">
        <f>pilot_day*Y8</f>
        <v/>
      </c>
      <c r="Z20" s="10">
        <f>pilot_day*Z8</f>
        <v/>
      </c>
      <c r="AA20" s="10">
        <f>pilot_day*AA8</f>
        <v/>
      </c>
      <c r="AB20" s="10">
        <f>pilot_day*AB8</f>
        <v/>
      </c>
      <c r="AC20" s="10">
        <f>pilot_day*AC8</f>
        <v/>
      </c>
      <c r="AD20" s="10">
        <f>pilot_day*AD8</f>
        <v/>
      </c>
      <c r="AE20" s="10">
        <f>pilot_day*AE8</f>
        <v/>
      </c>
      <c r="AF20" s="10">
        <f>pilot_day*AF8</f>
        <v/>
      </c>
    </row>
    <row r="21">
      <c r="A21" t="inlineStr">
        <is>
          <t>Цена бензина</t>
        </is>
      </c>
      <c r="B21" t="inlineStr">
        <is>
          <t>сум/л</t>
        </is>
      </c>
      <c r="C21" s="10">
        <f>petrol_price*C9</f>
        <v/>
      </c>
      <c r="D21" s="10">
        <f>petrol_price*D9</f>
        <v/>
      </c>
      <c r="E21" s="10">
        <f>petrol_price*E9</f>
        <v/>
      </c>
      <c r="F21" s="10">
        <f>petrol_price*F9</f>
        <v/>
      </c>
      <c r="G21" s="10">
        <f>petrol_price*G9</f>
        <v/>
      </c>
      <c r="H21" s="10">
        <f>petrol_price*H9</f>
        <v/>
      </c>
      <c r="I21" s="10">
        <f>petrol_price*I9</f>
        <v/>
      </c>
      <c r="J21" s="10">
        <f>petrol_price*J9</f>
        <v/>
      </c>
      <c r="K21" s="10">
        <f>petrol_price*K9</f>
        <v/>
      </c>
      <c r="L21" s="10">
        <f>petrol_price*L9</f>
        <v/>
      </c>
      <c r="M21" s="10">
        <f>petrol_price*M9</f>
        <v/>
      </c>
      <c r="N21" s="10">
        <f>petrol_price*N9</f>
        <v/>
      </c>
      <c r="O21" s="10">
        <f>petrol_price*O9</f>
        <v/>
      </c>
      <c r="P21" s="10">
        <f>petrol_price*P9</f>
        <v/>
      </c>
      <c r="Q21" s="10">
        <f>petrol_price*Q9</f>
        <v/>
      </c>
      <c r="R21" s="10">
        <f>petrol_price*R9</f>
        <v/>
      </c>
      <c r="S21" s="10">
        <f>petrol_price*S9</f>
        <v/>
      </c>
      <c r="T21" s="10">
        <f>petrol_price*T9</f>
        <v/>
      </c>
      <c r="U21" s="10">
        <f>petrol_price*U9</f>
        <v/>
      </c>
      <c r="V21" s="10">
        <f>petrol_price*V9</f>
        <v/>
      </c>
      <c r="W21" s="10">
        <f>petrol_price*W9</f>
        <v/>
      </c>
      <c r="X21" s="10">
        <f>petrol_price*X9</f>
        <v/>
      </c>
      <c r="Y21" s="10">
        <f>petrol_price*Y9</f>
        <v/>
      </c>
      <c r="Z21" s="10">
        <f>petrol_price*Z9</f>
        <v/>
      </c>
      <c r="AA21" s="10">
        <f>petrol_price*AA9</f>
        <v/>
      </c>
      <c r="AB21" s="10">
        <f>petrol_price*AB9</f>
        <v/>
      </c>
      <c r="AC21" s="10">
        <f>petrol_price*AC9</f>
        <v/>
      </c>
      <c r="AD21" s="10">
        <f>petrol_price*AD9</f>
        <v/>
      </c>
      <c r="AE21" s="10">
        <f>petrol_price*AE9</f>
        <v/>
      </c>
      <c r="AF21" s="10">
        <f>petrol_price*AF9</f>
        <v/>
      </c>
    </row>
    <row r="22">
      <c r="A22" t="inlineStr">
        <is>
          <t>Ресурс батареи</t>
        </is>
      </c>
      <c r="B22" t="inlineStr">
        <is>
          <t>циклов</t>
        </is>
      </c>
      <c r="C22" s="9">
        <f>battery_cycles*C10</f>
        <v/>
      </c>
      <c r="D22" s="9">
        <f>battery_cycles*D10</f>
        <v/>
      </c>
      <c r="E22" s="9">
        <f>battery_cycles*E10</f>
        <v/>
      </c>
      <c r="F22" s="9">
        <f>battery_cycles*F10</f>
        <v/>
      </c>
      <c r="G22" s="9">
        <f>battery_cycles*G10</f>
        <v/>
      </c>
      <c r="H22" s="9">
        <f>battery_cycles*H10</f>
        <v/>
      </c>
      <c r="I22" s="9">
        <f>battery_cycles*I10</f>
        <v/>
      </c>
      <c r="J22" s="9">
        <f>battery_cycles*J10</f>
        <v/>
      </c>
      <c r="K22" s="9">
        <f>battery_cycles*K10</f>
        <v/>
      </c>
      <c r="L22" s="9">
        <f>battery_cycles*L10</f>
        <v/>
      </c>
      <c r="M22" s="9">
        <f>battery_cycles*M10</f>
        <v/>
      </c>
      <c r="N22" s="9">
        <f>battery_cycles*N10</f>
        <v/>
      </c>
      <c r="O22" s="9">
        <f>battery_cycles*O10</f>
        <v/>
      </c>
      <c r="P22" s="9">
        <f>battery_cycles*P10</f>
        <v/>
      </c>
      <c r="Q22" s="9">
        <f>battery_cycles*Q10</f>
        <v/>
      </c>
      <c r="R22" s="9">
        <f>battery_cycles*R10</f>
        <v/>
      </c>
      <c r="S22" s="9">
        <f>battery_cycles*S10</f>
        <v/>
      </c>
      <c r="T22" s="9">
        <f>battery_cycles*T10</f>
        <v/>
      </c>
      <c r="U22" s="9">
        <f>battery_cycles*U10</f>
        <v/>
      </c>
      <c r="V22" s="9">
        <f>battery_cycles*V10</f>
        <v/>
      </c>
      <c r="W22" s="9">
        <f>battery_cycles*W10</f>
        <v/>
      </c>
      <c r="X22" s="9">
        <f>battery_cycles*X10</f>
        <v/>
      </c>
      <c r="Y22" s="9">
        <f>battery_cycles*Y10</f>
        <v/>
      </c>
      <c r="Z22" s="9">
        <f>battery_cycles*Z10</f>
        <v/>
      </c>
      <c r="AA22" s="9">
        <f>battery_cycles*AA10</f>
        <v/>
      </c>
      <c r="AB22" s="9">
        <f>battery_cycles*AB10</f>
        <v/>
      </c>
      <c r="AC22" s="9">
        <f>battery_cycles*AC10</f>
        <v/>
      </c>
      <c r="AD22" s="9">
        <f>battery_cycles*AD10</f>
        <v/>
      </c>
      <c r="AE22" s="9">
        <f>battery_cycles*AE10</f>
        <v/>
      </c>
      <c r="AF22" s="9">
        <f>battery_cycles*AF10</f>
        <v/>
      </c>
    </row>
    <row r="23">
      <c r="A23" t="inlineStr">
        <is>
          <t>Рабочих дней в сезоне</t>
        </is>
      </c>
      <c r="B23" t="inlineStr">
        <is>
          <t>дн</t>
        </is>
      </c>
      <c r="C23" s="9">
        <f>days_per_season*C11</f>
        <v/>
      </c>
      <c r="D23" s="9">
        <f>days_per_season*D11</f>
        <v/>
      </c>
      <c r="E23" s="9">
        <f>days_per_season*E11</f>
        <v/>
      </c>
      <c r="F23" s="9">
        <f>days_per_season*F11</f>
        <v/>
      </c>
      <c r="G23" s="9">
        <f>days_per_season*G11</f>
        <v/>
      </c>
      <c r="H23" s="9">
        <f>days_per_season*H11</f>
        <v/>
      </c>
      <c r="I23" s="9">
        <f>days_per_season*I11</f>
        <v/>
      </c>
      <c r="J23" s="9">
        <f>days_per_season*J11</f>
        <v/>
      </c>
      <c r="K23" s="9">
        <f>days_per_season*K11</f>
        <v/>
      </c>
      <c r="L23" s="9">
        <f>days_per_season*L11</f>
        <v/>
      </c>
      <c r="M23" s="9">
        <f>days_per_season*M11</f>
        <v/>
      </c>
      <c r="N23" s="9">
        <f>days_per_season*N11</f>
        <v/>
      </c>
      <c r="O23" s="9">
        <f>days_per_season*O11</f>
        <v/>
      </c>
      <c r="P23" s="9">
        <f>days_per_season*P11</f>
        <v/>
      </c>
      <c r="Q23" s="9">
        <f>days_per_season*Q11</f>
        <v/>
      </c>
      <c r="R23" s="9">
        <f>days_per_season*R11</f>
        <v/>
      </c>
      <c r="S23" s="9">
        <f>days_per_season*S11</f>
        <v/>
      </c>
      <c r="T23" s="9">
        <f>days_per_season*T11</f>
        <v/>
      </c>
      <c r="U23" s="9">
        <f>days_per_season*U11</f>
        <v/>
      </c>
      <c r="V23" s="9">
        <f>days_per_season*V11</f>
        <v/>
      </c>
      <c r="W23" s="9">
        <f>days_per_season*W11</f>
        <v/>
      </c>
      <c r="X23" s="9">
        <f>days_per_season*X11</f>
        <v/>
      </c>
      <c r="Y23" s="9">
        <f>days_per_season*Y11</f>
        <v/>
      </c>
      <c r="Z23" s="9">
        <f>days_per_season*Z11</f>
        <v/>
      </c>
      <c r="AA23" s="9">
        <f>days_per_season*AA11</f>
        <v/>
      </c>
      <c r="AB23" s="9">
        <f>days_per_season*AB11</f>
        <v/>
      </c>
      <c r="AC23" s="9">
        <f>days_per_season*AC11</f>
        <v/>
      </c>
      <c r="AD23" s="9">
        <f>days_per_season*AD11</f>
        <v/>
      </c>
      <c r="AE23" s="9">
        <f>days_per_season*AE11</f>
        <v/>
      </c>
      <c r="AF23" s="9">
        <f>days_per_season*AF11</f>
        <v/>
      </c>
    </row>
    <row r="24">
      <c r="A24" t="inlineStr">
        <is>
          <t>Ширина захвата</t>
        </is>
      </c>
      <c r="B24" t="inlineStr">
        <is>
          <t>м</t>
        </is>
      </c>
      <c r="C24" s="9">
        <f>swath_eff_m*C12</f>
        <v/>
      </c>
      <c r="D24" s="9">
        <f>swath_eff_m*D12</f>
        <v/>
      </c>
      <c r="E24" s="9">
        <f>swath_eff_m*E12</f>
        <v/>
      </c>
      <c r="F24" s="9">
        <f>swath_eff_m*F12</f>
        <v/>
      </c>
      <c r="G24" s="9">
        <f>swath_eff_m*G12</f>
        <v/>
      </c>
      <c r="H24" s="9">
        <f>swath_eff_m*H12</f>
        <v/>
      </c>
      <c r="I24" s="9">
        <f>swath_eff_m*I12</f>
        <v/>
      </c>
      <c r="J24" s="9">
        <f>swath_eff_m*J12</f>
        <v/>
      </c>
      <c r="K24" s="9">
        <f>swath_eff_m*K12</f>
        <v/>
      </c>
      <c r="L24" s="9">
        <f>swath_eff_m*L12</f>
        <v/>
      </c>
      <c r="M24" s="9">
        <f>swath_eff_m*M12</f>
        <v/>
      </c>
      <c r="N24" s="9">
        <f>swath_eff_m*N12</f>
        <v/>
      </c>
      <c r="O24" s="9">
        <f>swath_eff_m*O12</f>
        <v/>
      </c>
      <c r="P24" s="9">
        <f>swath_eff_m*P12</f>
        <v/>
      </c>
      <c r="Q24" s="9">
        <f>swath_eff_m*Q12</f>
        <v/>
      </c>
      <c r="R24" s="9">
        <f>swath_eff_m*R12</f>
        <v/>
      </c>
      <c r="S24" s="9">
        <f>swath_eff_m*S12</f>
        <v/>
      </c>
      <c r="T24" s="9">
        <f>swath_eff_m*T12</f>
        <v/>
      </c>
      <c r="U24" s="9">
        <f>swath_eff_m*U12</f>
        <v/>
      </c>
      <c r="V24" s="9">
        <f>swath_eff_m*V12</f>
        <v/>
      </c>
      <c r="W24" s="9">
        <f>swath_eff_m*W12</f>
        <v/>
      </c>
      <c r="X24" s="9">
        <f>swath_eff_m*X12</f>
        <v/>
      </c>
      <c r="Y24" s="9">
        <f>swath_eff_m*Y12</f>
        <v/>
      </c>
      <c r="Z24" s="9">
        <f>swath_eff_m*Z12</f>
        <v/>
      </c>
      <c r="AA24" s="9">
        <f>swath_eff_m*AA12</f>
        <v/>
      </c>
      <c r="AB24" s="9">
        <f>swath_eff_m*AB12</f>
        <v/>
      </c>
      <c r="AC24" s="9">
        <f>swath_eff_m*AC12</f>
        <v/>
      </c>
      <c r="AD24" s="9">
        <f>swath_eff_m*AD12</f>
        <v/>
      </c>
      <c r="AE24" s="9">
        <f>swath_eff_m*AE12</f>
        <v/>
      </c>
      <c r="AF24" s="9">
        <f>swath_eff_m*AF12</f>
        <v/>
      </c>
    </row>
    <row r="25">
      <c r="A25" t="inlineStr">
        <is>
          <t>Скорость</t>
        </is>
      </c>
      <c r="B25" t="inlineStr">
        <is>
          <t>м/с</t>
        </is>
      </c>
      <c r="C25" s="9">
        <f>speed_ms*C13</f>
        <v/>
      </c>
      <c r="D25" s="9">
        <f>speed_ms*D13</f>
        <v/>
      </c>
      <c r="E25" s="9">
        <f>speed_ms*E13</f>
        <v/>
      </c>
      <c r="F25" s="9">
        <f>speed_ms*F13</f>
        <v/>
      </c>
      <c r="G25" s="9">
        <f>speed_ms*G13</f>
        <v/>
      </c>
      <c r="H25" s="9">
        <f>speed_ms*H13</f>
        <v/>
      </c>
      <c r="I25" s="9">
        <f>speed_ms*I13</f>
        <v/>
      </c>
      <c r="J25" s="9">
        <f>speed_ms*J13</f>
        <v/>
      </c>
      <c r="K25" s="9">
        <f>speed_ms*K13</f>
        <v/>
      </c>
      <c r="L25" s="9">
        <f>speed_ms*L13</f>
        <v/>
      </c>
      <c r="M25" s="9">
        <f>speed_ms*M13</f>
        <v/>
      </c>
      <c r="N25" s="9">
        <f>speed_ms*N13</f>
        <v/>
      </c>
      <c r="O25" s="9">
        <f>speed_ms*O13</f>
        <v/>
      </c>
      <c r="P25" s="9">
        <f>speed_ms*P13</f>
        <v/>
      </c>
      <c r="Q25" s="9">
        <f>speed_ms*Q13</f>
        <v/>
      </c>
      <c r="R25" s="9">
        <f>speed_ms*R13</f>
        <v/>
      </c>
      <c r="S25" s="9">
        <f>speed_ms*S13</f>
        <v/>
      </c>
      <c r="T25" s="9">
        <f>speed_ms*T13</f>
        <v/>
      </c>
      <c r="U25" s="9">
        <f>speed_ms*U13</f>
        <v/>
      </c>
      <c r="V25" s="9">
        <f>speed_ms*V13</f>
        <v/>
      </c>
      <c r="W25" s="9">
        <f>speed_ms*W13</f>
        <v/>
      </c>
      <c r="X25" s="9">
        <f>speed_ms*X13</f>
        <v/>
      </c>
      <c r="Y25" s="9">
        <f>speed_ms*Y13</f>
        <v/>
      </c>
      <c r="Z25" s="9">
        <f>speed_ms*Z13</f>
        <v/>
      </c>
      <c r="AA25" s="9">
        <f>speed_ms*AA13</f>
        <v/>
      </c>
      <c r="AB25" s="9">
        <f>speed_ms*AB13</f>
        <v/>
      </c>
      <c r="AC25" s="9">
        <f>speed_ms*AC13</f>
        <v/>
      </c>
      <c r="AD25" s="9">
        <f>speed_ms*AD13</f>
        <v/>
      </c>
      <c r="AE25" s="9">
        <f>speed_ms*AE13</f>
        <v/>
      </c>
      <c r="AF25" s="9">
        <f>speed_ms*AF13</f>
        <v/>
      </c>
    </row>
    <row r="26">
      <c r="A26" s="3" t="inlineStr">
        <is>
          <t>ПРОИЗВОДИТЕЛЬНОСТЬ</t>
        </is>
      </c>
      <c r="B26" s="2" t="inlineStr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</row>
    <row r="27">
      <c r="A27" t="inlineStr">
        <is>
          <t>Гектаров на одну загрузку по весу бака</t>
        </is>
      </c>
      <c r="B27" t="inlineStr">
        <is>
          <t>га</t>
        </is>
      </c>
      <c r="C27" s="9">
        <f>C15/C2</f>
        <v/>
      </c>
      <c r="D27" s="9">
        <f>D15/D2</f>
        <v/>
      </c>
      <c r="E27" s="9">
        <f>E15/E2</f>
        <v/>
      </c>
      <c r="F27" s="9">
        <f>F15/F2</f>
        <v/>
      </c>
      <c r="G27" s="9">
        <f>G15/G2</f>
        <v/>
      </c>
      <c r="H27" s="9">
        <f>H15/H2</f>
        <v/>
      </c>
      <c r="I27" s="9">
        <f>I15/I2</f>
        <v/>
      </c>
      <c r="J27" s="9">
        <f>J15/J2</f>
        <v/>
      </c>
      <c r="K27" s="9">
        <f>K15/K2</f>
        <v/>
      </c>
      <c r="L27" s="9">
        <f>L15/L2</f>
        <v/>
      </c>
      <c r="M27" s="9">
        <f>M15/M2</f>
        <v/>
      </c>
      <c r="N27" s="9">
        <f>N15/N2</f>
        <v/>
      </c>
      <c r="O27" s="9">
        <f>O15/O2</f>
        <v/>
      </c>
      <c r="P27" s="9">
        <f>P15/P2</f>
        <v/>
      </c>
      <c r="Q27" s="9">
        <f>Q15/Q2</f>
        <v/>
      </c>
      <c r="R27" s="9">
        <f>R15/R2</f>
        <v/>
      </c>
      <c r="S27" s="9">
        <f>S15/S2</f>
        <v/>
      </c>
      <c r="T27" s="9">
        <f>T15/T2</f>
        <v/>
      </c>
      <c r="U27" s="9">
        <f>U15/U2</f>
        <v/>
      </c>
      <c r="V27" s="9">
        <f>V15/V2</f>
        <v/>
      </c>
      <c r="W27" s="9">
        <f>W15/W2</f>
        <v/>
      </c>
      <c r="X27" s="9">
        <f>X15/X2</f>
        <v/>
      </c>
      <c r="Y27" s="9">
        <f>Y15/Y2</f>
        <v/>
      </c>
      <c r="Z27" s="9">
        <f>Z15/Z2</f>
        <v/>
      </c>
      <c r="AA27" s="9">
        <f>AA15/AA2</f>
        <v/>
      </c>
      <c r="AB27" s="9">
        <f>AB15/AB2</f>
        <v/>
      </c>
      <c r="AC27" s="9">
        <f>AC15/AC2</f>
        <v/>
      </c>
      <c r="AD27" s="9">
        <f>AD15/AD2</f>
        <v/>
      </c>
      <c r="AE27" s="9">
        <f>AE15/AE2</f>
        <v/>
      </c>
      <c r="AF27" s="9">
        <f>AF15/AF2</f>
        <v/>
      </c>
    </row>
    <row r="28">
      <c r="A28" t="inlineStr">
        <is>
          <t>Время разбрасывания на гектар (без накладных)</t>
        </is>
      </c>
      <c r="B28" t="inlineStr">
        <is>
          <t>мин</t>
        </is>
      </c>
      <c r="C28" s="9">
        <f>10000/(C24*C25)/60</f>
        <v/>
      </c>
      <c r="D28" s="9">
        <f>10000/(D24*D25)/60</f>
        <v/>
      </c>
      <c r="E28" s="9">
        <f>10000/(E24*E25)/60</f>
        <v/>
      </c>
      <c r="F28" s="9">
        <f>10000/(F24*F25)/60</f>
        <v/>
      </c>
      <c r="G28" s="9">
        <f>10000/(G24*G25)/60</f>
        <v/>
      </c>
      <c r="H28" s="9">
        <f>10000/(H24*H25)/60</f>
        <v/>
      </c>
      <c r="I28" s="9">
        <f>10000/(I24*I25)/60</f>
        <v/>
      </c>
      <c r="J28" s="9">
        <f>10000/(J24*J25)/60</f>
        <v/>
      </c>
      <c r="K28" s="9">
        <f>10000/(K24*K25)/60</f>
        <v/>
      </c>
      <c r="L28" s="9">
        <f>10000/(L24*L25)/60</f>
        <v/>
      </c>
      <c r="M28" s="9">
        <f>10000/(M24*M25)/60</f>
        <v/>
      </c>
      <c r="N28" s="9">
        <f>10000/(N24*N25)/60</f>
        <v/>
      </c>
      <c r="O28" s="9">
        <f>10000/(O24*O25)/60</f>
        <v/>
      </c>
      <c r="P28" s="9">
        <f>10000/(P24*P25)/60</f>
        <v/>
      </c>
      <c r="Q28" s="9">
        <f>10000/(Q24*Q25)/60</f>
        <v/>
      </c>
      <c r="R28" s="9">
        <f>10000/(R24*R25)/60</f>
        <v/>
      </c>
      <c r="S28" s="9">
        <f>10000/(S24*S25)/60</f>
        <v/>
      </c>
      <c r="T28" s="9">
        <f>10000/(T24*T25)/60</f>
        <v/>
      </c>
      <c r="U28" s="9">
        <f>10000/(U24*U25)/60</f>
        <v/>
      </c>
      <c r="V28" s="9">
        <f>10000/(V24*V25)/60</f>
        <v/>
      </c>
      <c r="W28" s="9">
        <f>10000/(W24*W25)/60</f>
        <v/>
      </c>
      <c r="X28" s="9">
        <f>10000/(X24*X25)/60</f>
        <v/>
      </c>
      <c r="Y28" s="9">
        <f>10000/(Y24*Y25)/60</f>
        <v/>
      </c>
      <c r="Z28" s="9">
        <f>10000/(Z24*Z25)/60</f>
        <v/>
      </c>
      <c r="AA28" s="9">
        <f>10000/(AA24*AA25)/60</f>
        <v/>
      </c>
      <c r="AB28" s="9">
        <f>10000/(AB24*AB25)/60</f>
        <v/>
      </c>
      <c r="AC28" s="9">
        <f>10000/(AC24*AC25)/60</f>
        <v/>
      </c>
      <c r="AD28" s="9">
        <f>10000/(AD24*AD25)/60</f>
        <v/>
      </c>
      <c r="AE28" s="9">
        <f>10000/(AE24*AE25)/60</f>
        <v/>
      </c>
      <c r="AF28" s="9">
        <f>10000/(AF24*AF25)/60</f>
        <v/>
      </c>
    </row>
    <row r="29">
      <c r="A29" t="inlineStr">
        <is>
          <t>Время разбрасывания за вылет (вес бака или предел батареи)</t>
        </is>
      </c>
      <c r="B29" t="inlineStr">
        <is>
          <t>мин</t>
        </is>
      </c>
      <c r="C29" s="9">
        <f>MIN(C27*C28,max_flight_min-C18)</f>
        <v/>
      </c>
      <c r="D29" s="9">
        <f>MIN(D27*D28,max_flight_min-D18)</f>
        <v/>
      </c>
      <c r="E29" s="9">
        <f>MIN(E27*E28,max_flight_min-E18)</f>
        <v/>
      </c>
      <c r="F29" s="9">
        <f>MIN(F27*F28,max_flight_min-F18)</f>
        <v/>
      </c>
      <c r="G29" s="9">
        <f>MIN(G27*G28,max_flight_min-G18)</f>
        <v/>
      </c>
      <c r="H29" s="9">
        <f>MIN(H27*H28,max_flight_min-H18)</f>
        <v/>
      </c>
      <c r="I29" s="9">
        <f>MIN(I27*I28,max_flight_min-I18)</f>
        <v/>
      </c>
      <c r="J29" s="9">
        <f>MIN(J27*J28,max_flight_min-J18)</f>
        <v/>
      </c>
      <c r="K29" s="9">
        <f>MIN(K27*K28,max_flight_min-K18)</f>
        <v/>
      </c>
      <c r="L29" s="9">
        <f>MIN(L27*L28,max_flight_min-L18)</f>
        <v/>
      </c>
      <c r="M29" s="9">
        <f>MIN(M27*M28,max_flight_min-M18)</f>
        <v/>
      </c>
      <c r="N29" s="9">
        <f>MIN(N27*N28,max_flight_min-N18)</f>
        <v/>
      </c>
      <c r="O29" s="9">
        <f>MIN(O27*O28,max_flight_min-O18)</f>
        <v/>
      </c>
      <c r="P29" s="9">
        <f>MIN(P27*P28,max_flight_min-P18)</f>
        <v/>
      </c>
      <c r="Q29" s="9">
        <f>MIN(Q27*Q28,max_flight_min-Q18)</f>
        <v/>
      </c>
      <c r="R29" s="9">
        <f>MIN(R27*R28,max_flight_min-R18)</f>
        <v/>
      </c>
      <c r="S29" s="9">
        <f>MIN(S27*S28,max_flight_min-S18)</f>
        <v/>
      </c>
      <c r="T29" s="9">
        <f>MIN(T27*T28,max_flight_min-T18)</f>
        <v/>
      </c>
      <c r="U29" s="9">
        <f>MIN(U27*U28,max_flight_min-U18)</f>
        <v/>
      </c>
      <c r="V29" s="9">
        <f>MIN(V27*V28,max_flight_min-V18)</f>
        <v/>
      </c>
      <c r="W29" s="9">
        <f>MIN(W27*W28,max_flight_min-W18)</f>
        <v/>
      </c>
      <c r="X29" s="9">
        <f>MIN(X27*X28,max_flight_min-X18)</f>
        <v/>
      </c>
      <c r="Y29" s="9">
        <f>MIN(Y27*Y28,max_flight_min-Y18)</f>
        <v/>
      </c>
      <c r="Z29" s="9">
        <f>MIN(Z27*Z28,max_flight_min-Z18)</f>
        <v/>
      </c>
      <c r="AA29" s="9">
        <f>MIN(AA27*AA28,max_flight_min-AA18)</f>
        <v/>
      </c>
      <c r="AB29" s="9">
        <f>MIN(AB27*AB28,max_flight_min-AB18)</f>
        <v/>
      </c>
      <c r="AC29" s="9">
        <f>MIN(AC27*AC28,max_flight_min-AC18)</f>
        <v/>
      </c>
      <c r="AD29" s="9">
        <f>MIN(AD27*AD28,max_flight_min-AD18)</f>
        <v/>
      </c>
      <c r="AE29" s="9">
        <f>MIN(AE27*AE28,max_flight_min-AE18)</f>
        <v/>
      </c>
      <c r="AF29" s="9">
        <f>MIN(AF27*AF28,max_flight_min-AF18)</f>
        <v/>
      </c>
    </row>
    <row r="30">
      <c r="A30" t="inlineStr">
        <is>
          <t>Гектаров за вылет</t>
        </is>
      </c>
      <c r="B30" t="inlineStr">
        <is>
          <t>га</t>
        </is>
      </c>
      <c r="C30" s="9">
        <f>C29/C28</f>
        <v/>
      </c>
      <c r="D30" s="9">
        <f>D29/D28</f>
        <v/>
      </c>
      <c r="E30" s="9">
        <f>E29/E28</f>
        <v/>
      </c>
      <c r="F30" s="9">
        <f>F29/F28</f>
        <v/>
      </c>
      <c r="G30" s="9">
        <f>G29/G28</f>
        <v/>
      </c>
      <c r="H30" s="9">
        <f>H29/H28</f>
        <v/>
      </c>
      <c r="I30" s="9">
        <f>I29/I28</f>
        <v/>
      </c>
      <c r="J30" s="9">
        <f>J29/J28</f>
        <v/>
      </c>
      <c r="K30" s="9">
        <f>K29/K28</f>
        <v/>
      </c>
      <c r="L30" s="9">
        <f>L29/L28</f>
        <v/>
      </c>
      <c r="M30" s="9">
        <f>M29/M28</f>
        <v/>
      </c>
      <c r="N30" s="9">
        <f>N29/N28</f>
        <v/>
      </c>
      <c r="O30" s="9">
        <f>O29/O28</f>
        <v/>
      </c>
      <c r="P30" s="9">
        <f>P29/P28</f>
        <v/>
      </c>
      <c r="Q30" s="9">
        <f>Q29/Q28</f>
        <v/>
      </c>
      <c r="R30" s="9">
        <f>R29/R28</f>
        <v/>
      </c>
      <c r="S30" s="9">
        <f>S29/S28</f>
        <v/>
      </c>
      <c r="T30" s="9">
        <f>T29/T28</f>
        <v/>
      </c>
      <c r="U30" s="9">
        <f>U29/U28</f>
        <v/>
      </c>
      <c r="V30" s="9">
        <f>V29/V28</f>
        <v/>
      </c>
      <c r="W30" s="9">
        <f>W29/W28</f>
        <v/>
      </c>
      <c r="X30" s="9">
        <f>X29/X28</f>
        <v/>
      </c>
      <c r="Y30" s="9">
        <f>Y29/Y28</f>
        <v/>
      </c>
      <c r="Z30" s="9">
        <f>Z29/Z28</f>
        <v/>
      </c>
      <c r="AA30" s="9">
        <f>AA29/AA28</f>
        <v/>
      </c>
      <c r="AB30" s="9">
        <f>AB29/AB28</f>
        <v/>
      </c>
      <c r="AC30" s="9">
        <f>AC29/AC28</f>
        <v/>
      </c>
      <c r="AD30" s="9">
        <f>AD29/AD28</f>
        <v/>
      </c>
      <c r="AE30" s="9">
        <f>AE29/AE28</f>
        <v/>
      </c>
      <c r="AF30" s="9">
        <f>AF29/AF28</f>
        <v/>
      </c>
    </row>
    <row r="31">
      <c r="A31" t="inlineStr">
        <is>
          <t>Вылетов на гектар</t>
        </is>
      </c>
      <c r="B31" t="inlineStr">
        <is>
          <t>шт</t>
        </is>
      </c>
      <c r="C31" s="9">
        <f>1/C30</f>
        <v/>
      </c>
      <c r="D31" s="9">
        <f>1/D30</f>
        <v/>
      </c>
      <c r="E31" s="9">
        <f>1/E30</f>
        <v/>
      </c>
      <c r="F31" s="9">
        <f>1/F30</f>
        <v/>
      </c>
      <c r="G31" s="9">
        <f>1/G30</f>
        <v/>
      </c>
      <c r="H31" s="9">
        <f>1/H30</f>
        <v/>
      </c>
      <c r="I31" s="9">
        <f>1/I30</f>
        <v/>
      </c>
      <c r="J31" s="9">
        <f>1/J30</f>
        <v/>
      </c>
      <c r="K31" s="9">
        <f>1/K30</f>
        <v/>
      </c>
      <c r="L31" s="9">
        <f>1/L30</f>
        <v/>
      </c>
      <c r="M31" s="9">
        <f>1/M30</f>
        <v/>
      </c>
      <c r="N31" s="9">
        <f>1/N30</f>
        <v/>
      </c>
      <c r="O31" s="9">
        <f>1/O30</f>
        <v/>
      </c>
      <c r="P31" s="9">
        <f>1/P30</f>
        <v/>
      </c>
      <c r="Q31" s="9">
        <f>1/Q30</f>
        <v/>
      </c>
      <c r="R31" s="9">
        <f>1/R30</f>
        <v/>
      </c>
      <c r="S31" s="9">
        <f>1/S30</f>
        <v/>
      </c>
      <c r="T31" s="9">
        <f>1/T30</f>
        <v/>
      </c>
      <c r="U31" s="9">
        <f>1/U30</f>
        <v/>
      </c>
      <c r="V31" s="9">
        <f>1/V30</f>
        <v/>
      </c>
      <c r="W31" s="9">
        <f>1/W30</f>
        <v/>
      </c>
      <c r="X31" s="9">
        <f>1/X30</f>
        <v/>
      </c>
      <c r="Y31" s="9">
        <f>1/Y30</f>
        <v/>
      </c>
      <c r="Z31" s="9">
        <f>1/Z30</f>
        <v/>
      </c>
      <c r="AA31" s="9">
        <f>1/AA30</f>
        <v/>
      </c>
      <c r="AB31" s="9">
        <f>1/AB30</f>
        <v/>
      </c>
      <c r="AC31" s="9">
        <f>1/AC30</f>
        <v/>
      </c>
      <c r="AD31" s="9">
        <f>1/AD30</f>
        <v/>
      </c>
      <c r="AE31" s="9">
        <f>1/AE30</f>
        <v/>
      </c>
      <c r="AF31" s="9">
        <f>1/AF30</f>
        <v/>
      </c>
    </row>
    <row r="32">
      <c r="A32" t="inlineStr">
        <is>
          <t>Внесено за вылет</t>
        </is>
      </c>
      <c r="B32" t="inlineStr">
        <is>
          <t>кг</t>
        </is>
      </c>
      <c r="C32" s="9">
        <f>C2*C30</f>
        <v/>
      </c>
      <c r="D32" s="9">
        <f>D2*D30</f>
        <v/>
      </c>
      <c r="E32" s="9">
        <f>E2*E30</f>
        <v/>
      </c>
      <c r="F32" s="9">
        <f>F2*F30</f>
        <v/>
      </c>
      <c r="G32" s="9">
        <f>G2*G30</f>
        <v/>
      </c>
      <c r="H32" s="9">
        <f>H2*H30</f>
        <v/>
      </c>
      <c r="I32" s="9">
        <f>I2*I30</f>
        <v/>
      </c>
      <c r="J32" s="9">
        <f>J2*J30</f>
        <v/>
      </c>
      <c r="K32" s="9">
        <f>K2*K30</f>
        <v/>
      </c>
      <c r="L32" s="9">
        <f>L2*L30</f>
        <v/>
      </c>
      <c r="M32" s="9">
        <f>M2*M30</f>
        <v/>
      </c>
      <c r="N32" s="9">
        <f>N2*N30</f>
        <v/>
      </c>
      <c r="O32" s="9">
        <f>O2*O30</f>
        <v/>
      </c>
      <c r="P32" s="9">
        <f>P2*P30</f>
        <v/>
      </c>
      <c r="Q32" s="9">
        <f>Q2*Q30</f>
        <v/>
      </c>
      <c r="R32" s="9">
        <f>R2*R30</f>
        <v/>
      </c>
      <c r="S32" s="9">
        <f>S2*S30</f>
        <v/>
      </c>
      <c r="T32" s="9">
        <f>T2*T30</f>
        <v/>
      </c>
      <c r="U32" s="9">
        <f>U2*U30</f>
        <v/>
      </c>
      <c r="V32" s="9">
        <f>V2*V30</f>
        <v/>
      </c>
      <c r="W32" s="9">
        <f>W2*W30</f>
        <v/>
      </c>
      <c r="X32" s="9">
        <f>X2*X30</f>
        <v/>
      </c>
      <c r="Y32" s="9">
        <f>Y2*Y30</f>
        <v/>
      </c>
      <c r="Z32" s="9">
        <f>Z2*Z30</f>
        <v/>
      </c>
      <c r="AA32" s="9">
        <f>AA2*AA30</f>
        <v/>
      </c>
      <c r="AB32" s="9">
        <f>AB2*AB30</f>
        <v/>
      </c>
      <c r="AC32" s="9">
        <f>AC2*AC30</f>
        <v/>
      </c>
      <c r="AD32" s="9">
        <f>AD2*AD30</f>
        <v/>
      </c>
      <c r="AE32" s="9">
        <f>AE2*AE30</f>
        <v/>
      </c>
      <c r="AF32" s="9">
        <f>AF2*AF30</f>
        <v/>
      </c>
    </row>
    <row r="33">
      <c r="A33" t="inlineStr">
        <is>
          <t>Длительность вылета</t>
        </is>
      </c>
      <c r="B33" t="inlineStr">
        <is>
          <t>мин</t>
        </is>
      </c>
      <c r="C33" s="9">
        <f>C29+C18</f>
        <v/>
      </c>
      <c r="D33" s="9">
        <f>D29+D18</f>
        <v/>
      </c>
      <c r="E33" s="9">
        <f>E29+E18</f>
        <v/>
      </c>
      <c r="F33" s="9">
        <f>F29+F18</f>
        <v/>
      </c>
      <c r="G33" s="9">
        <f>G29+G18</f>
        <v/>
      </c>
      <c r="H33" s="9">
        <f>H29+H18</f>
        <v/>
      </c>
      <c r="I33" s="9">
        <f>I29+I18</f>
        <v/>
      </c>
      <c r="J33" s="9">
        <f>J29+J18</f>
        <v/>
      </c>
      <c r="K33" s="9">
        <f>K29+K18</f>
        <v/>
      </c>
      <c r="L33" s="9">
        <f>L29+L18</f>
        <v/>
      </c>
      <c r="M33" s="9">
        <f>M29+M18</f>
        <v/>
      </c>
      <c r="N33" s="9">
        <f>N29+N18</f>
        <v/>
      </c>
      <c r="O33" s="9">
        <f>O29+O18</f>
        <v/>
      </c>
      <c r="P33" s="9">
        <f>P29+P18</f>
        <v/>
      </c>
      <c r="Q33" s="9">
        <f>Q29+Q18</f>
        <v/>
      </c>
      <c r="R33" s="9">
        <f>R29+R18</f>
        <v/>
      </c>
      <c r="S33" s="9">
        <f>S29+S18</f>
        <v/>
      </c>
      <c r="T33" s="9">
        <f>T29+T18</f>
        <v/>
      </c>
      <c r="U33" s="9">
        <f>U29+U18</f>
        <v/>
      </c>
      <c r="V33" s="9">
        <f>V29+V18</f>
        <v/>
      </c>
      <c r="W33" s="9">
        <f>W29+W18</f>
        <v/>
      </c>
      <c r="X33" s="9">
        <f>X29+X18</f>
        <v/>
      </c>
      <c r="Y33" s="9">
        <f>Y29+Y18</f>
        <v/>
      </c>
      <c r="Z33" s="9">
        <f>Z29+Z18</f>
        <v/>
      </c>
      <c r="AA33" s="9">
        <f>AA29+AA18</f>
        <v/>
      </c>
      <c r="AB33" s="9">
        <f>AB29+AB18</f>
        <v/>
      </c>
      <c r="AC33" s="9">
        <f>AC29+AC18</f>
        <v/>
      </c>
      <c r="AD33" s="9">
        <f>AD29+AD18</f>
        <v/>
      </c>
      <c r="AE33" s="9">
        <f>AE29+AE18</f>
        <v/>
      </c>
      <c r="AF33" s="9">
        <f>AF29+AF18</f>
        <v/>
      </c>
    </row>
    <row r="34">
      <c r="A34" t="inlineStr">
        <is>
          <t>Полный цикл (вылет + загрузка)</t>
        </is>
      </c>
      <c r="B34" t="inlineStr">
        <is>
          <t>мин</t>
        </is>
      </c>
      <c r="C34" s="9">
        <f>C33+C17</f>
        <v/>
      </c>
      <c r="D34" s="9">
        <f>D33+D17</f>
        <v/>
      </c>
      <c r="E34" s="9">
        <f>E33+E17</f>
        <v/>
      </c>
      <c r="F34" s="9">
        <f>F33+F17</f>
        <v/>
      </c>
      <c r="G34" s="9">
        <f>G33+G17</f>
        <v/>
      </c>
      <c r="H34" s="9">
        <f>H33+H17</f>
        <v/>
      </c>
      <c r="I34" s="9">
        <f>I33+I17</f>
        <v/>
      </c>
      <c r="J34" s="9">
        <f>J33+J17</f>
        <v/>
      </c>
      <c r="K34" s="9">
        <f>K33+K17</f>
        <v/>
      </c>
      <c r="L34" s="9">
        <f>L33+L17</f>
        <v/>
      </c>
      <c r="M34" s="9">
        <f>M33+M17</f>
        <v/>
      </c>
      <c r="N34" s="9">
        <f>N33+N17</f>
        <v/>
      </c>
      <c r="O34" s="9">
        <f>O33+O17</f>
        <v/>
      </c>
      <c r="P34" s="9">
        <f>P33+P17</f>
        <v/>
      </c>
      <c r="Q34" s="9">
        <f>Q33+Q17</f>
        <v/>
      </c>
      <c r="R34" s="9">
        <f>R33+R17</f>
        <v/>
      </c>
      <c r="S34" s="9">
        <f>S33+S17</f>
        <v/>
      </c>
      <c r="T34" s="9">
        <f>T33+T17</f>
        <v/>
      </c>
      <c r="U34" s="9">
        <f>U33+U17</f>
        <v/>
      </c>
      <c r="V34" s="9">
        <f>V33+V17</f>
        <v/>
      </c>
      <c r="W34" s="9">
        <f>W33+W17</f>
        <v/>
      </c>
      <c r="X34" s="9">
        <f>X33+X17</f>
        <v/>
      </c>
      <c r="Y34" s="9">
        <f>Y33+Y17</f>
        <v/>
      </c>
      <c r="Z34" s="9">
        <f>Z33+Z17</f>
        <v/>
      </c>
      <c r="AA34" s="9">
        <f>AA33+AA17</f>
        <v/>
      </c>
      <c r="AB34" s="9">
        <f>AB33+AB17</f>
        <v/>
      </c>
      <c r="AC34" s="9">
        <f>AC33+AC17</f>
        <v/>
      </c>
      <c r="AD34" s="9">
        <f>AD33+AD17</f>
        <v/>
      </c>
      <c r="AE34" s="9">
        <f>AE33+AE17</f>
        <v/>
      </c>
      <c r="AF34" s="9">
        <f>AF33+AF17</f>
        <v/>
      </c>
    </row>
    <row r="35">
      <c r="A35" t="inlineStr">
        <is>
          <t>Вылетов в час</t>
        </is>
      </c>
      <c r="B35" t="inlineStr">
        <is>
          <t>шт</t>
        </is>
      </c>
      <c r="C35" s="9">
        <f>60/C34</f>
        <v/>
      </c>
      <c r="D35" s="9">
        <f>60/D34</f>
        <v/>
      </c>
      <c r="E35" s="9">
        <f>60/E34</f>
        <v/>
      </c>
      <c r="F35" s="9">
        <f>60/F34</f>
        <v/>
      </c>
      <c r="G35" s="9">
        <f>60/G34</f>
        <v/>
      </c>
      <c r="H35" s="9">
        <f>60/H34</f>
        <v/>
      </c>
      <c r="I35" s="9">
        <f>60/I34</f>
        <v/>
      </c>
      <c r="J35" s="9">
        <f>60/J34</f>
        <v/>
      </c>
      <c r="K35" s="9">
        <f>60/K34</f>
        <v/>
      </c>
      <c r="L35" s="9">
        <f>60/L34</f>
        <v/>
      </c>
      <c r="M35" s="9">
        <f>60/M34</f>
        <v/>
      </c>
      <c r="N35" s="9">
        <f>60/N34</f>
        <v/>
      </c>
      <c r="O35" s="9">
        <f>60/O34</f>
        <v/>
      </c>
      <c r="P35" s="9">
        <f>60/P34</f>
        <v/>
      </c>
      <c r="Q35" s="9">
        <f>60/Q34</f>
        <v/>
      </c>
      <c r="R35" s="9">
        <f>60/R34</f>
        <v/>
      </c>
      <c r="S35" s="9">
        <f>60/S34</f>
        <v/>
      </c>
      <c r="T35" s="9">
        <f>60/T34</f>
        <v/>
      </c>
      <c r="U35" s="9">
        <f>60/U34</f>
        <v/>
      </c>
      <c r="V35" s="9">
        <f>60/V34</f>
        <v/>
      </c>
      <c r="W35" s="9">
        <f>60/W34</f>
        <v/>
      </c>
      <c r="X35" s="9">
        <f>60/X34</f>
        <v/>
      </c>
      <c r="Y35" s="9">
        <f>60/Y34</f>
        <v/>
      </c>
      <c r="Z35" s="9">
        <f>60/Z34</f>
        <v/>
      </c>
      <c r="AA35" s="9">
        <f>60/AA34</f>
        <v/>
      </c>
      <c r="AB35" s="9">
        <f>60/AB34</f>
        <v/>
      </c>
      <c r="AC35" s="9">
        <f>60/AC34</f>
        <v/>
      </c>
      <c r="AD35" s="9">
        <f>60/AD34</f>
        <v/>
      </c>
      <c r="AE35" s="9">
        <f>60/AE34</f>
        <v/>
      </c>
      <c r="AF35" s="9">
        <f>60/AF34</f>
        <v/>
      </c>
    </row>
    <row r="36">
      <c r="A36" t="inlineStr">
        <is>
          <t>Внесено удобрений в час</t>
        </is>
      </c>
      <c r="B36" t="inlineStr">
        <is>
          <t>кг</t>
        </is>
      </c>
      <c r="C36" s="9">
        <f>C35*C32</f>
        <v/>
      </c>
      <c r="D36" s="9">
        <f>D35*D32</f>
        <v/>
      </c>
      <c r="E36" s="9">
        <f>E35*E32</f>
        <v/>
      </c>
      <c r="F36" s="9">
        <f>F35*F32</f>
        <v/>
      </c>
      <c r="G36" s="9">
        <f>G35*G32</f>
        <v/>
      </c>
      <c r="H36" s="9">
        <f>H35*H32</f>
        <v/>
      </c>
      <c r="I36" s="9">
        <f>I35*I32</f>
        <v/>
      </c>
      <c r="J36" s="9">
        <f>J35*J32</f>
        <v/>
      </c>
      <c r="K36" s="9">
        <f>K35*K32</f>
        <v/>
      </c>
      <c r="L36" s="9">
        <f>L35*L32</f>
        <v/>
      </c>
      <c r="M36" s="9">
        <f>M35*M32</f>
        <v/>
      </c>
      <c r="N36" s="9">
        <f>N35*N32</f>
        <v/>
      </c>
      <c r="O36" s="9">
        <f>O35*O32</f>
        <v/>
      </c>
      <c r="P36" s="9">
        <f>P35*P32</f>
        <v/>
      </c>
      <c r="Q36" s="9">
        <f>Q35*Q32</f>
        <v/>
      </c>
      <c r="R36" s="9">
        <f>R35*R32</f>
        <v/>
      </c>
      <c r="S36" s="9">
        <f>S35*S32</f>
        <v/>
      </c>
      <c r="T36" s="9">
        <f>T35*T32</f>
        <v/>
      </c>
      <c r="U36" s="9">
        <f>U35*U32</f>
        <v/>
      </c>
      <c r="V36" s="9">
        <f>V35*V32</f>
        <v/>
      </c>
      <c r="W36" s="9">
        <f>W35*W32</f>
        <v/>
      </c>
      <c r="X36" s="9">
        <f>X35*X32</f>
        <v/>
      </c>
      <c r="Y36" s="9">
        <f>Y35*Y32</f>
        <v/>
      </c>
      <c r="Z36" s="9">
        <f>Z35*Z32</f>
        <v/>
      </c>
      <c r="AA36" s="9">
        <f>AA35*AA32</f>
        <v/>
      </c>
      <c r="AB36" s="9">
        <f>AB35*AB32</f>
        <v/>
      </c>
      <c r="AC36" s="9">
        <f>AC35*AC32</f>
        <v/>
      </c>
      <c r="AD36" s="9">
        <f>AD35*AD32</f>
        <v/>
      </c>
      <c r="AE36" s="9">
        <f>AE35*AE32</f>
        <v/>
      </c>
      <c r="AF36" s="9">
        <f>AF35*AF32</f>
        <v/>
      </c>
    </row>
    <row r="37">
      <c r="A37" t="inlineStr">
        <is>
          <t>Гектаров в час</t>
        </is>
      </c>
      <c r="B37" t="inlineStr">
        <is>
          <t>га</t>
        </is>
      </c>
      <c r="C37" s="9">
        <f>C35*C30</f>
        <v/>
      </c>
      <c r="D37" s="9">
        <f>D35*D30</f>
        <v/>
      </c>
      <c r="E37" s="9">
        <f>E35*E30</f>
        <v/>
      </c>
      <c r="F37" s="9">
        <f>F35*F30</f>
        <v/>
      </c>
      <c r="G37" s="9">
        <f>G35*G30</f>
        <v/>
      </c>
      <c r="H37" s="9">
        <f>H35*H30</f>
        <v/>
      </c>
      <c r="I37" s="9">
        <f>I35*I30</f>
        <v/>
      </c>
      <c r="J37" s="9">
        <f>J35*J30</f>
        <v/>
      </c>
      <c r="K37" s="9">
        <f>K35*K30</f>
        <v/>
      </c>
      <c r="L37" s="9">
        <f>L35*L30</f>
        <v/>
      </c>
      <c r="M37" s="9">
        <f>M35*M30</f>
        <v/>
      </c>
      <c r="N37" s="9">
        <f>N35*N30</f>
        <v/>
      </c>
      <c r="O37" s="9">
        <f>O35*O30</f>
        <v/>
      </c>
      <c r="P37" s="9">
        <f>P35*P30</f>
        <v/>
      </c>
      <c r="Q37" s="9">
        <f>Q35*Q30</f>
        <v/>
      </c>
      <c r="R37" s="9">
        <f>R35*R30</f>
        <v/>
      </c>
      <c r="S37" s="9">
        <f>S35*S30</f>
        <v/>
      </c>
      <c r="T37" s="9">
        <f>T35*T30</f>
        <v/>
      </c>
      <c r="U37" s="9">
        <f>U35*U30</f>
        <v/>
      </c>
      <c r="V37" s="9">
        <f>V35*V30</f>
        <v/>
      </c>
      <c r="W37" s="9">
        <f>W35*W30</f>
        <v/>
      </c>
      <c r="X37" s="9">
        <f>X35*X30</f>
        <v/>
      </c>
      <c r="Y37" s="9">
        <f>Y35*Y30</f>
        <v/>
      </c>
      <c r="Z37" s="9">
        <f>Z35*Z30</f>
        <v/>
      </c>
      <c r="AA37" s="9">
        <f>AA35*AA30</f>
        <v/>
      </c>
      <c r="AB37" s="9">
        <f>AB35*AB30</f>
        <v/>
      </c>
      <c r="AC37" s="9">
        <f>AC35*AC30</f>
        <v/>
      </c>
      <c r="AD37" s="9">
        <f>AD35*AD30</f>
        <v/>
      </c>
      <c r="AE37" s="9">
        <f>AE35*AE30</f>
        <v/>
      </c>
      <c r="AF37" s="9">
        <f>AF35*AF30</f>
        <v/>
      </c>
    </row>
    <row r="38">
      <c r="A38" s="1" t="inlineStr">
        <is>
          <t>Гектаров за рабочий день</t>
        </is>
      </c>
      <c r="B38" t="inlineStr">
        <is>
          <t>га</t>
        </is>
      </c>
      <c r="C38" s="11">
        <f>C37*C16</f>
        <v/>
      </c>
      <c r="D38" s="11">
        <f>D37*D16</f>
        <v/>
      </c>
      <c r="E38" s="11">
        <f>E37*E16</f>
        <v/>
      </c>
      <c r="F38" s="11">
        <f>F37*F16</f>
        <v/>
      </c>
      <c r="G38" s="11">
        <f>G37*G16</f>
        <v/>
      </c>
      <c r="H38" s="11">
        <f>H37*H16</f>
        <v/>
      </c>
      <c r="I38" s="11">
        <f>I37*I16</f>
        <v/>
      </c>
      <c r="J38" s="11">
        <f>J37*J16</f>
        <v/>
      </c>
      <c r="K38" s="11">
        <f>K37*K16</f>
        <v/>
      </c>
      <c r="L38" s="11">
        <f>L37*L16</f>
        <v/>
      </c>
      <c r="M38" s="11">
        <f>M37*M16</f>
        <v/>
      </c>
      <c r="N38" s="11">
        <f>N37*N16</f>
        <v/>
      </c>
      <c r="O38" s="11">
        <f>O37*O16</f>
        <v/>
      </c>
      <c r="P38" s="11">
        <f>P37*P16</f>
        <v/>
      </c>
      <c r="Q38" s="11">
        <f>Q37*Q16</f>
        <v/>
      </c>
      <c r="R38" s="11">
        <f>R37*R16</f>
        <v/>
      </c>
      <c r="S38" s="11">
        <f>S37*S16</f>
        <v/>
      </c>
      <c r="T38" s="11">
        <f>T37*T16</f>
        <v/>
      </c>
      <c r="U38" s="11">
        <f>U37*U16</f>
        <v/>
      </c>
      <c r="V38" s="11">
        <f>V37*V16</f>
        <v/>
      </c>
      <c r="W38" s="11">
        <f>W37*W16</f>
        <v/>
      </c>
      <c r="X38" s="11">
        <f>X37*X16</f>
        <v/>
      </c>
      <c r="Y38" s="11">
        <f>Y37*Y16</f>
        <v/>
      </c>
      <c r="Z38" s="11">
        <f>Z37*Z16</f>
        <v/>
      </c>
      <c r="AA38" s="11">
        <f>AA37*AA16</f>
        <v/>
      </c>
      <c r="AB38" s="11">
        <f>AB37*AB16</f>
        <v/>
      </c>
      <c r="AC38" s="11">
        <f>AC37*AC16</f>
        <v/>
      </c>
      <c r="AD38" s="11">
        <f>AD37*AD16</f>
        <v/>
      </c>
      <c r="AE38" s="11">
        <f>AE37*AE16</f>
        <v/>
      </c>
      <c r="AF38" s="11">
        <f>AF37*AF16</f>
        <v/>
      </c>
    </row>
    <row r="39">
      <c r="A39" t="inlineStr">
        <is>
          <t>Вылетов за день</t>
        </is>
      </c>
      <c r="B39" t="inlineStr">
        <is>
          <t>шт</t>
        </is>
      </c>
      <c r="C39" s="9">
        <f>C35*C16</f>
        <v/>
      </c>
      <c r="D39" s="9">
        <f>D35*D16</f>
        <v/>
      </c>
      <c r="E39" s="9">
        <f>E35*E16</f>
        <v/>
      </c>
      <c r="F39" s="9">
        <f>F35*F16</f>
        <v/>
      </c>
      <c r="G39" s="9">
        <f>G35*G16</f>
        <v/>
      </c>
      <c r="H39" s="9">
        <f>H35*H16</f>
        <v/>
      </c>
      <c r="I39" s="9">
        <f>I35*I16</f>
        <v/>
      </c>
      <c r="J39" s="9">
        <f>J35*J16</f>
        <v/>
      </c>
      <c r="K39" s="9">
        <f>K35*K16</f>
        <v/>
      </c>
      <c r="L39" s="9">
        <f>L35*L16</f>
        <v/>
      </c>
      <c r="M39" s="9">
        <f>M35*M16</f>
        <v/>
      </c>
      <c r="N39" s="9">
        <f>N35*N16</f>
        <v/>
      </c>
      <c r="O39" s="9">
        <f>O35*O16</f>
        <v/>
      </c>
      <c r="P39" s="9">
        <f>P35*P16</f>
        <v/>
      </c>
      <c r="Q39" s="9">
        <f>Q35*Q16</f>
        <v/>
      </c>
      <c r="R39" s="9">
        <f>R35*R16</f>
        <v/>
      </c>
      <c r="S39" s="9">
        <f>S35*S16</f>
        <v/>
      </c>
      <c r="T39" s="9">
        <f>T35*T16</f>
        <v/>
      </c>
      <c r="U39" s="9">
        <f>U35*U16</f>
        <v/>
      </c>
      <c r="V39" s="9">
        <f>V35*V16</f>
        <v/>
      </c>
      <c r="W39" s="9">
        <f>W35*W16</f>
        <v/>
      </c>
      <c r="X39" s="9">
        <f>X35*X16</f>
        <v/>
      </c>
      <c r="Y39" s="9">
        <f>Y35*Y16</f>
        <v/>
      </c>
      <c r="Z39" s="9">
        <f>Z35*Z16</f>
        <v/>
      </c>
      <c r="AA39" s="9">
        <f>AA35*AA16</f>
        <v/>
      </c>
      <c r="AB39" s="9">
        <f>AB35*AB16</f>
        <v/>
      </c>
      <c r="AC39" s="9">
        <f>AC35*AC16</f>
        <v/>
      </c>
      <c r="AD39" s="9">
        <f>AD35*AD16</f>
        <v/>
      </c>
      <c r="AE39" s="9">
        <f>AE35*AE16</f>
        <v/>
      </c>
      <c r="AF39" s="9">
        <f>AF35*AF16</f>
        <v/>
      </c>
    </row>
    <row r="40">
      <c r="A40" t="inlineStr">
        <is>
          <t>Тонн за день</t>
        </is>
      </c>
      <c r="B40" t="inlineStr">
        <is>
          <t>т</t>
        </is>
      </c>
      <c r="C40" s="9">
        <f>C36*C16/1000</f>
        <v/>
      </c>
      <c r="D40" s="9">
        <f>D36*D16/1000</f>
        <v/>
      </c>
      <c r="E40" s="9">
        <f>E36*E16/1000</f>
        <v/>
      </c>
      <c r="F40" s="9">
        <f>F36*F16/1000</f>
        <v/>
      </c>
      <c r="G40" s="9">
        <f>G36*G16/1000</f>
        <v/>
      </c>
      <c r="H40" s="9">
        <f>H36*H16/1000</f>
        <v/>
      </c>
      <c r="I40" s="9">
        <f>I36*I16/1000</f>
        <v/>
      </c>
      <c r="J40" s="9">
        <f>J36*J16/1000</f>
        <v/>
      </c>
      <c r="K40" s="9">
        <f>K36*K16/1000</f>
        <v/>
      </c>
      <c r="L40" s="9">
        <f>L36*L16/1000</f>
        <v/>
      </c>
      <c r="M40" s="9">
        <f>M36*M16/1000</f>
        <v/>
      </c>
      <c r="N40" s="9">
        <f>N36*N16/1000</f>
        <v/>
      </c>
      <c r="O40" s="9">
        <f>O36*O16/1000</f>
        <v/>
      </c>
      <c r="P40" s="9">
        <f>P36*P16/1000</f>
        <v/>
      </c>
      <c r="Q40" s="9">
        <f>Q36*Q16/1000</f>
        <v/>
      </c>
      <c r="R40" s="9">
        <f>R36*R16/1000</f>
        <v/>
      </c>
      <c r="S40" s="9">
        <f>S36*S16/1000</f>
        <v/>
      </c>
      <c r="T40" s="9">
        <f>T36*T16/1000</f>
        <v/>
      </c>
      <c r="U40" s="9">
        <f>U36*U16/1000</f>
        <v/>
      </c>
      <c r="V40" s="9">
        <f>V36*V16/1000</f>
        <v/>
      </c>
      <c r="W40" s="9">
        <f>W36*W16/1000</f>
        <v/>
      </c>
      <c r="X40" s="9">
        <f>X36*X16/1000</f>
        <v/>
      </c>
      <c r="Y40" s="9">
        <f>Y36*Y16/1000</f>
        <v/>
      </c>
      <c r="Z40" s="9">
        <f>Z36*Z16/1000</f>
        <v/>
      </c>
      <c r="AA40" s="9">
        <f>AA36*AA16/1000</f>
        <v/>
      </c>
      <c r="AB40" s="9">
        <f>AB36*AB16/1000</f>
        <v/>
      </c>
      <c r="AC40" s="9">
        <f>AC36*AC16/1000</f>
        <v/>
      </c>
      <c r="AD40" s="9">
        <f>AD36*AD16/1000</f>
        <v/>
      </c>
      <c r="AE40" s="9">
        <f>AE36*AE16/1000</f>
        <v/>
      </c>
      <c r="AF40" s="9">
        <f>AF36*AF16/1000</f>
        <v/>
      </c>
    </row>
    <row r="41">
      <c r="A41" t="inlineStr">
        <is>
          <t>Требуемая подача разбрасывателя</t>
        </is>
      </c>
      <c r="B41" t="inlineStr">
        <is>
          <t>кг/мин</t>
        </is>
      </c>
      <c r="C41" s="9">
        <f>C32/C29</f>
        <v/>
      </c>
      <c r="D41" s="9">
        <f>D32/D29</f>
        <v/>
      </c>
      <c r="E41" s="9">
        <f>E32/E29</f>
        <v/>
      </c>
      <c r="F41" s="9">
        <f>F32/F29</f>
        <v/>
      </c>
      <c r="G41" s="9">
        <f>G32/G29</f>
        <v/>
      </c>
      <c r="H41" s="9">
        <f>H32/H29</f>
        <v/>
      </c>
      <c r="I41" s="9">
        <f>I32/I29</f>
        <v/>
      </c>
      <c r="J41" s="9">
        <f>J32/J29</f>
        <v/>
      </c>
      <c r="K41" s="9">
        <f>K32/K29</f>
        <v/>
      </c>
      <c r="L41" s="9">
        <f>L32/L29</f>
        <v/>
      </c>
      <c r="M41" s="9">
        <f>M32/M29</f>
        <v/>
      </c>
      <c r="N41" s="9">
        <f>N32/N29</f>
        <v/>
      </c>
      <c r="O41" s="9">
        <f>O32/O29</f>
        <v/>
      </c>
      <c r="P41" s="9">
        <f>P32/P29</f>
        <v/>
      </c>
      <c r="Q41" s="9">
        <f>Q32/Q29</f>
        <v/>
      </c>
      <c r="R41" s="9">
        <f>R32/R29</f>
        <v/>
      </c>
      <c r="S41" s="9">
        <f>S32/S29</f>
        <v/>
      </c>
      <c r="T41" s="9">
        <f>T32/T29</f>
        <v/>
      </c>
      <c r="U41" s="9">
        <f>U32/U29</f>
        <v/>
      </c>
      <c r="V41" s="9">
        <f>V32/V29</f>
        <v/>
      </c>
      <c r="W41" s="9">
        <f>W32/W29</f>
        <v/>
      </c>
      <c r="X41" s="9">
        <f>X32/X29</f>
        <v/>
      </c>
      <c r="Y41" s="9">
        <f>Y32/Y29</f>
        <v/>
      </c>
      <c r="Z41" s="9">
        <f>Z32/Z29</f>
        <v/>
      </c>
      <c r="AA41" s="9">
        <f>AA32/AA29</f>
        <v/>
      </c>
      <c r="AB41" s="9">
        <f>AB32/AB29</f>
        <v/>
      </c>
      <c r="AC41" s="9">
        <f>AC32/AC29</f>
        <v/>
      </c>
      <c r="AD41" s="9">
        <f>AD32/AD29</f>
        <v/>
      </c>
      <c r="AE41" s="9">
        <f>AE32/AE29</f>
        <v/>
      </c>
      <c r="AF41" s="9">
        <f>AF32/AF29</f>
        <v/>
      </c>
    </row>
    <row r="42">
      <c r="A42" t="inlineStr">
        <is>
          <t>Подача в пределах паспорта?</t>
        </is>
      </c>
      <c r="B42" t="inlineStr"/>
      <c r="C42">
        <f>IF(C41&lt;=max_flow_kg_min,"да","НЕТ: снизить скорость")</f>
        <v/>
      </c>
      <c r="D42">
        <f>IF(D41&lt;=max_flow_kg_min,"да","НЕТ: снизить скорость")</f>
        <v/>
      </c>
      <c r="E42">
        <f>IF(E41&lt;=max_flow_kg_min,"да","НЕТ: снизить скорость")</f>
        <v/>
      </c>
      <c r="F42">
        <f>IF(F41&lt;=max_flow_kg_min,"да","НЕТ: снизить скорость")</f>
        <v/>
      </c>
      <c r="G42">
        <f>IF(G41&lt;=max_flow_kg_min,"да","НЕТ: снизить скорость")</f>
        <v/>
      </c>
      <c r="H42">
        <f>IF(H41&lt;=max_flow_kg_min,"да","НЕТ: снизить скорость")</f>
        <v/>
      </c>
      <c r="I42">
        <f>IF(I41&lt;=max_flow_kg_min,"да","НЕТ: снизить скорость")</f>
        <v/>
      </c>
      <c r="J42">
        <f>IF(J41&lt;=max_flow_kg_min,"да","НЕТ: снизить скорость")</f>
        <v/>
      </c>
      <c r="K42">
        <f>IF(K41&lt;=max_flow_kg_min,"да","НЕТ: снизить скорость")</f>
        <v/>
      </c>
      <c r="L42">
        <f>IF(L41&lt;=max_flow_kg_min,"да","НЕТ: снизить скорость")</f>
        <v/>
      </c>
      <c r="M42">
        <f>IF(M41&lt;=max_flow_kg_min,"да","НЕТ: снизить скорость")</f>
        <v/>
      </c>
      <c r="N42">
        <f>IF(N41&lt;=max_flow_kg_min,"да","НЕТ: снизить скорость")</f>
        <v/>
      </c>
      <c r="O42">
        <f>IF(O41&lt;=max_flow_kg_min,"да","НЕТ: снизить скорость")</f>
        <v/>
      </c>
      <c r="P42">
        <f>IF(P41&lt;=max_flow_kg_min,"да","НЕТ: снизить скорость")</f>
        <v/>
      </c>
      <c r="Q42">
        <f>IF(Q41&lt;=max_flow_kg_min,"да","НЕТ: снизить скорость")</f>
        <v/>
      </c>
      <c r="R42">
        <f>IF(R41&lt;=max_flow_kg_min,"да","НЕТ: снизить скорость")</f>
        <v/>
      </c>
      <c r="S42">
        <f>IF(S41&lt;=max_flow_kg_min,"да","НЕТ: снизить скорость")</f>
        <v/>
      </c>
      <c r="T42">
        <f>IF(T41&lt;=max_flow_kg_min,"да","НЕТ: снизить скорость")</f>
        <v/>
      </c>
      <c r="U42">
        <f>IF(U41&lt;=max_flow_kg_min,"да","НЕТ: снизить скорость")</f>
        <v/>
      </c>
      <c r="V42">
        <f>IF(V41&lt;=max_flow_kg_min,"да","НЕТ: снизить скорость")</f>
        <v/>
      </c>
      <c r="W42">
        <f>IF(W41&lt;=max_flow_kg_min,"да","НЕТ: снизить скорость")</f>
        <v/>
      </c>
      <c r="X42">
        <f>IF(X41&lt;=max_flow_kg_min,"да","НЕТ: снизить скорость")</f>
        <v/>
      </c>
      <c r="Y42">
        <f>IF(Y41&lt;=max_flow_kg_min,"да","НЕТ: снизить скорость")</f>
        <v/>
      </c>
      <c r="Z42">
        <f>IF(Z41&lt;=max_flow_kg_min,"да","НЕТ: снизить скорость")</f>
        <v/>
      </c>
      <c r="AA42">
        <f>IF(AA41&lt;=max_flow_kg_min,"да","НЕТ: снизить скорость")</f>
        <v/>
      </c>
      <c r="AB42">
        <f>IF(AB41&lt;=max_flow_kg_min,"да","НЕТ: снизить скорость")</f>
        <v/>
      </c>
      <c r="AC42">
        <f>IF(AC41&lt;=max_flow_kg_min,"да","НЕТ: снизить скорость")</f>
        <v/>
      </c>
      <c r="AD42">
        <f>IF(AD41&lt;=max_flow_kg_min,"да","НЕТ: снизить скорость")</f>
        <v/>
      </c>
      <c r="AE42">
        <f>IF(AE41&lt;=max_flow_kg_min,"да","НЕТ: снизить скорость")</f>
        <v/>
      </c>
      <c r="AF42">
        <f>IF(AF41&lt;=max_flow_kg_min,"да","НЕТ: снизить скорость")</f>
        <v/>
      </c>
    </row>
    <row r="43">
      <c r="A43" t="inlineStr">
        <is>
          <t>Доля цикла батареи за вылет</t>
        </is>
      </c>
      <c r="B43" t="inlineStr">
        <is>
          <t>доля</t>
        </is>
      </c>
      <c r="C43" s="9">
        <f>C33/cycle_equiv_min</f>
        <v/>
      </c>
      <c r="D43" s="9">
        <f>D33/cycle_equiv_min</f>
        <v/>
      </c>
      <c r="E43" s="9">
        <f>E33/cycle_equiv_min</f>
        <v/>
      </c>
      <c r="F43" s="9">
        <f>F33/cycle_equiv_min</f>
        <v/>
      </c>
      <c r="G43" s="9">
        <f>G33/cycle_equiv_min</f>
        <v/>
      </c>
      <c r="H43" s="9">
        <f>H33/cycle_equiv_min</f>
        <v/>
      </c>
      <c r="I43" s="9">
        <f>I33/cycle_equiv_min</f>
        <v/>
      </c>
      <c r="J43" s="9">
        <f>J33/cycle_equiv_min</f>
        <v/>
      </c>
      <c r="K43" s="9">
        <f>K33/cycle_equiv_min</f>
        <v/>
      </c>
      <c r="L43" s="9">
        <f>L33/cycle_equiv_min</f>
        <v/>
      </c>
      <c r="M43" s="9">
        <f>M33/cycle_equiv_min</f>
        <v/>
      </c>
      <c r="N43" s="9">
        <f>N33/cycle_equiv_min</f>
        <v/>
      </c>
      <c r="O43" s="9">
        <f>O33/cycle_equiv_min</f>
        <v/>
      </c>
      <c r="P43" s="9">
        <f>P33/cycle_equiv_min</f>
        <v/>
      </c>
      <c r="Q43" s="9">
        <f>Q33/cycle_equiv_min</f>
        <v/>
      </c>
      <c r="R43" s="9">
        <f>R33/cycle_equiv_min</f>
        <v/>
      </c>
      <c r="S43" s="9">
        <f>S33/cycle_equiv_min</f>
        <v/>
      </c>
      <c r="T43" s="9">
        <f>T33/cycle_equiv_min</f>
        <v/>
      </c>
      <c r="U43" s="9">
        <f>U33/cycle_equiv_min</f>
        <v/>
      </c>
      <c r="V43" s="9">
        <f>V33/cycle_equiv_min</f>
        <v/>
      </c>
      <c r="W43" s="9">
        <f>W33/cycle_equiv_min</f>
        <v/>
      </c>
      <c r="X43" s="9">
        <f>X33/cycle_equiv_min</f>
        <v/>
      </c>
      <c r="Y43" s="9">
        <f>Y33/cycle_equiv_min</f>
        <v/>
      </c>
      <c r="Z43" s="9">
        <f>Z33/cycle_equiv_min</f>
        <v/>
      </c>
      <c r="AA43" s="9">
        <f>AA33/cycle_equiv_min</f>
        <v/>
      </c>
      <c r="AB43" s="9">
        <f>AB33/cycle_equiv_min</f>
        <v/>
      </c>
      <c r="AC43" s="9">
        <f>AC33/cycle_equiv_min</f>
        <v/>
      </c>
      <c r="AD43" s="9">
        <f>AD33/cycle_equiv_min</f>
        <v/>
      </c>
      <c r="AE43" s="9">
        <f>AE33/cycle_equiv_min</f>
        <v/>
      </c>
      <c r="AF43" s="9">
        <f>AF33/cycle_equiv_min</f>
        <v/>
      </c>
    </row>
    <row r="44">
      <c r="A44" t="inlineStr">
        <is>
          <t>Полных зарядок батарей за день</t>
        </is>
      </c>
      <c r="B44" t="inlineStr">
        <is>
          <t>шт</t>
        </is>
      </c>
      <c r="C44" s="9">
        <f>C39*C43</f>
        <v/>
      </c>
      <c r="D44" s="9">
        <f>D39*D43</f>
        <v/>
      </c>
      <c r="E44" s="9">
        <f>E39*E43</f>
        <v/>
      </c>
      <c r="F44" s="9">
        <f>F39*F43</f>
        <v/>
      </c>
      <c r="G44" s="9">
        <f>G39*G43</f>
        <v/>
      </c>
      <c r="H44" s="9">
        <f>H39*H43</f>
        <v/>
      </c>
      <c r="I44" s="9">
        <f>I39*I43</f>
        <v/>
      </c>
      <c r="J44" s="9">
        <f>J39*J43</f>
        <v/>
      </c>
      <c r="K44" s="9">
        <f>K39*K43</f>
        <v/>
      </c>
      <c r="L44" s="9">
        <f>L39*L43</f>
        <v/>
      </c>
      <c r="M44" s="9">
        <f>M39*M43</f>
        <v/>
      </c>
      <c r="N44" s="9">
        <f>N39*N43</f>
        <v/>
      </c>
      <c r="O44" s="9">
        <f>O39*O43</f>
        <v/>
      </c>
      <c r="P44" s="9">
        <f>P39*P43</f>
        <v/>
      </c>
      <c r="Q44" s="9">
        <f>Q39*Q43</f>
        <v/>
      </c>
      <c r="R44" s="9">
        <f>R39*R43</f>
        <v/>
      </c>
      <c r="S44" s="9">
        <f>S39*S43</f>
        <v/>
      </c>
      <c r="T44" s="9">
        <f>T39*T43</f>
        <v/>
      </c>
      <c r="U44" s="9">
        <f>U39*U43</f>
        <v/>
      </c>
      <c r="V44" s="9">
        <f>V39*V43</f>
        <v/>
      </c>
      <c r="W44" s="9">
        <f>W39*W43</f>
        <v/>
      </c>
      <c r="X44" s="9">
        <f>X39*X43</f>
        <v/>
      </c>
      <c r="Y44" s="9">
        <f>Y39*Y43</f>
        <v/>
      </c>
      <c r="Z44" s="9">
        <f>Z39*Z43</f>
        <v/>
      </c>
      <c r="AA44" s="9">
        <f>AA39*AA43</f>
        <v/>
      </c>
      <c r="AB44" s="9">
        <f>AB39*AB43</f>
        <v/>
      </c>
      <c r="AC44" s="9">
        <f>AC39*AC43</f>
        <v/>
      </c>
      <c r="AD44" s="9">
        <f>AD39*AD43</f>
        <v/>
      </c>
      <c r="AE44" s="9">
        <f>AE39*AE43</f>
        <v/>
      </c>
      <c r="AF44" s="9">
        <f>AF39*AF43</f>
        <v/>
      </c>
    </row>
    <row r="45">
      <c r="A45" s="3" t="inlineStr">
        <is>
          <t>ЗАТРАТЫ НА ОДИН ВЫЛЕТ</t>
        </is>
      </c>
      <c r="B45" s="2" t="inlineStr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</row>
    <row r="46">
      <c r="A46" t="inlineStr">
        <is>
          <t>Износ батареи</t>
        </is>
      </c>
      <c r="B46" t="inlineStr">
        <is>
          <t>сум</t>
        </is>
      </c>
      <c r="C46" s="10">
        <f>C19*usd_rate/C22*C43</f>
        <v/>
      </c>
      <c r="D46" s="10">
        <f>D19*usd_rate/D22*D43</f>
        <v/>
      </c>
      <c r="E46" s="10">
        <f>E19*usd_rate/E22*E43</f>
        <v/>
      </c>
      <c r="F46" s="10">
        <f>F19*usd_rate/F22*F43</f>
        <v/>
      </c>
      <c r="G46" s="10">
        <f>G19*usd_rate/G22*G43</f>
        <v/>
      </c>
      <c r="H46" s="10">
        <f>H19*usd_rate/H22*H43</f>
        <v/>
      </c>
      <c r="I46" s="10">
        <f>I19*usd_rate/I22*I43</f>
        <v/>
      </c>
      <c r="J46" s="10">
        <f>J19*usd_rate/J22*J43</f>
        <v/>
      </c>
      <c r="K46" s="10">
        <f>K19*usd_rate/K22*K43</f>
        <v/>
      </c>
      <c r="L46" s="10">
        <f>L19*usd_rate/L22*L43</f>
        <v/>
      </c>
      <c r="M46" s="10">
        <f>M19*usd_rate/M22*M43</f>
        <v/>
      </c>
      <c r="N46" s="10">
        <f>N19*usd_rate/N22*N43</f>
        <v/>
      </c>
      <c r="O46" s="10">
        <f>O19*usd_rate/O22*O43</f>
        <v/>
      </c>
      <c r="P46" s="10">
        <f>P19*usd_rate/P22*P43</f>
        <v/>
      </c>
      <c r="Q46" s="10">
        <f>Q19*usd_rate/Q22*Q43</f>
        <v/>
      </c>
      <c r="R46" s="10">
        <f>R19*usd_rate/R22*R43</f>
        <v/>
      </c>
      <c r="S46" s="10">
        <f>S19*usd_rate/S22*S43</f>
        <v/>
      </c>
      <c r="T46" s="10">
        <f>T19*usd_rate/T22*T43</f>
        <v/>
      </c>
      <c r="U46" s="10">
        <f>U19*usd_rate/U22*U43</f>
        <v/>
      </c>
      <c r="V46" s="10">
        <f>V19*usd_rate/V22*V43</f>
        <v/>
      </c>
      <c r="W46" s="10">
        <f>W19*usd_rate/W22*W43</f>
        <v/>
      </c>
      <c r="X46" s="10">
        <f>X19*usd_rate/X22*X43</f>
        <v/>
      </c>
      <c r="Y46" s="10">
        <f>Y19*usd_rate/Y22*Y43</f>
        <v/>
      </c>
      <c r="Z46" s="10">
        <f>Z19*usd_rate/Z22*Z43</f>
        <v/>
      </c>
      <c r="AA46" s="10">
        <f>AA19*usd_rate/AA22*AA43</f>
        <v/>
      </c>
      <c r="AB46" s="10">
        <f>AB19*usd_rate/AB22*AB43</f>
        <v/>
      </c>
      <c r="AC46" s="10">
        <f>AC19*usd_rate/AC22*AC43</f>
        <v/>
      </c>
      <c r="AD46" s="10">
        <f>AD19*usd_rate/AD22*AD43</f>
        <v/>
      </c>
      <c r="AE46" s="10">
        <f>AE19*usd_rate/AE22*AE43</f>
        <v/>
      </c>
      <c r="AF46" s="10">
        <f>AF19*usd_rate/AF22*AF43</f>
        <v/>
      </c>
    </row>
    <row r="47">
      <c r="A47" t="inlineStr">
        <is>
          <t>Бензин генератора</t>
        </is>
      </c>
      <c r="B47" t="inlineStr">
        <is>
          <t>сум</t>
        </is>
      </c>
      <c r="C47" s="10">
        <f>battery_kwh*C43/charge_eff*gen_l_per_kwh*C21</f>
        <v/>
      </c>
      <c r="D47" s="10">
        <f>battery_kwh*D43/charge_eff*gen_l_per_kwh*D21</f>
        <v/>
      </c>
      <c r="E47" s="10">
        <f>battery_kwh*E43/charge_eff*gen_l_per_kwh*E21</f>
        <v/>
      </c>
      <c r="F47" s="10">
        <f>battery_kwh*F43/charge_eff*gen_l_per_kwh*F21</f>
        <v/>
      </c>
      <c r="G47" s="10">
        <f>battery_kwh*G43/charge_eff*gen_l_per_kwh*G21</f>
        <v/>
      </c>
      <c r="H47" s="10">
        <f>battery_kwh*H43/charge_eff*gen_l_per_kwh*H21</f>
        <v/>
      </c>
      <c r="I47" s="10">
        <f>battery_kwh*I43/charge_eff*gen_l_per_kwh*I21</f>
        <v/>
      </c>
      <c r="J47" s="10">
        <f>battery_kwh*J43/charge_eff*gen_l_per_kwh*J21</f>
        <v/>
      </c>
      <c r="K47" s="10">
        <f>battery_kwh*K43/charge_eff*gen_l_per_kwh*K21</f>
        <v/>
      </c>
      <c r="L47" s="10">
        <f>battery_kwh*L43/charge_eff*gen_l_per_kwh*L21</f>
        <v/>
      </c>
      <c r="M47" s="10">
        <f>battery_kwh*M43/charge_eff*gen_l_per_kwh*M21</f>
        <v/>
      </c>
      <c r="N47" s="10">
        <f>battery_kwh*N43/charge_eff*gen_l_per_kwh*N21</f>
        <v/>
      </c>
      <c r="O47" s="10">
        <f>battery_kwh*O43/charge_eff*gen_l_per_kwh*O21</f>
        <v/>
      </c>
      <c r="P47" s="10">
        <f>battery_kwh*P43/charge_eff*gen_l_per_kwh*P21</f>
        <v/>
      </c>
      <c r="Q47" s="10">
        <f>battery_kwh*Q43/charge_eff*gen_l_per_kwh*Q21</f>
        <v/>
      </c>
      <c r="R47" s="10">
        <f>battery_kwh*R43/charge_eff*gen_l_per_kwh*R21</f>
        <v/>
      </c>
      <c r="S47" s="10">
        <f>battery_kwh*S43/charge_eff*gen_l_per_kwh*S21</f>
        <v/>
      </c>
      <c r="T47" s="10">
        <f>battery_kwh*T43/charge_eff*gen_l_per_kwh*T21</f>
        <v/>
      </c>
      <c r="U47" s="10">
        <f>battery_kwh*U43/charge_eff*gen_l_per_kwh*U21</f>
        <v/>
      </c>
      <c r="V47" s="10">
        <f>battery_kwh*V43/charge_eff*gen_l_per_kwh*V21</f>
        <v/>
      </c>
      <c r="W47" s="10">
        <f>battery_kwh*W43/charge_eff*gen_l_per_kwh*W21</f>
        <v/>
      </c>
      <c r="X47" s="10">
        <f>battery_kwh*X43/charge_eff*gen_l_per_kwh*X21</f>
        <v/>
      </c>
      <c r="Y47" s="10">
        <f>battery_kwh*Y43/charge_eff*gen_l_per_kwh*Y21</f>
        <v/>
      </c>
      <c r="Z47" s="10">
        <f>battery_kwh*Z43/charge_eff*gen_l_per_kwh*Z21</f>
        <v/>
      </c>
      <c r="AA47" s="10">
        <f>battery_kwh*AA43/charge_eff*gen_l_per_kwh*AA21</f>
        <v/>
      </c>
      <c r="AB47" s="10">
        <f>battery_kwh*AB43/charge_eff*gen_l_per_kwh*AB21</f>
        <v/>
      </c>
      <c r="AC47" s="10">
        <f>battery_kwh*AC43/charge_eff*gen_l_per_kwh*AC21</f>
        <v/>
      </c>
      <c r="AD47" s="10">
        <f>battery_kwh*AD43/charge_eff*gen_l_per_kwh*AD21</f>
        <v/>
      </c>
      <c r="AE47" s="10">
        <f>battery_kwh*AE43/charge_eff*gen_l_per_kwh*AE21</f>
        <v/>
      </c>
      <c r="AF47" s="10">
        <f>battery_kwh*AF43/charge_eff*gen_l_per_kwh*AF21</f>
        <v/>
      </c>
    </row>
    <row r="48">
      <c r="A48" t="inlineStr">
        <is>
          <t>Износ дрона (с надбавкой за удобрения)</t>
        </is>
      </c>
      <c r="B48" t="inlineStr">
        <is>
          <t>сум</t>
        </is>
      </c>
      <c r="C48" s="10">
        <f>drone_wear_usd_h*usd_rate*C33/60*(1+fert_wear_premium)</f>
        <v/>
      </c>
      <c r="D48" s="10">
        <f>drone_wear_usd_h*usd_rate*D33/60*(1+fert_wear_premium)</f>
        <v/>
      </c>
      <c r="E48" s="10">
        <f>drone_wear_usd_h*usd_rate*E33/60*(1+fert_wear_premium)</f>
        <v/>
      </c>
      <c r="F48" s="10">
        <f>drone_wear_usd_h*usd_rate*F33/60*(1+fert_wear_premium)</f>
        <v/>
      </c>
      <c r="G48" s="10">
        <f>drone_wear_usd_h*usd_rate*G33/60*(1+fert_wear_premium)</f>
        <v/>
      </c>
      <c r="H48" s="10">
        <f>drone_wear_usd_h*usd_rate*H33/60*(1+fert_wear_premium)</f>
        <v/>
      </c>
      <c r="I48" s="10">
        <f>drone_wear_usd_h*usd_rate*I33/60*(1+fert_wear_premium)</f>
        <v/>
      </c>
      <c r="J48" s="10">
        <f>drone_wear_usd_h*usd_rate*J33/60*(1+fert_wear_premium)</f>
        <v/>
      </c>
      <c r="K48" s="10">
        <f>drone_wear_usd_h*usd_rate*K33/60*(1+fert_wear_premium)</f>
        <v/>
      </c>
      <c r="L48" s="10">
        <f>drone_wear_usd_h*usd_rate*L33/60*(1+fert_wear_premium)</f>
        <v/>
      </c>
      <c r="M48" s="10">
        <f>drone_wear_usd_h*usd_rate*M33/60*(1+fert_wear_premium)</f>
        <v/>
      </c>
      <c r="N48" s="10">
        <f>drone_wear_usd_h*usd_rate*N33/60*(1+fert_wear_premium)</f>
        <v/>
      </c>
      <c r="O48" s="10">
        <f>drone_wear_usd_h*usd_rate*O33/60*(1+fert_wear_premium)</f>
        <v/>
      </c>
      <c r="P48" s="10">
        <f>drone_wear_usd_h*usd_rate*P33/60*(1+fert_wear_premium)</f>
        <v/>
      </c>
      <c r="Q48" s="10">
        <f>drone_wear_usd_h*usd_rate*Q33/60*(1+fert_wear_premium)</f>
        <v/>
      </c>
      <c r="R48" s="10">
        <f>drone_wear_usd_h*usd_rate*R33/60*(1+fert_wear_premium)</f>
        <v/>
      </c>
      <c r="S48" s="10">
        <f>drone_wear_usd_h*usd_rate*S33/60*(1+fert_wear_premium)</f>
        <v/>
      </c>
      <c r="T48" s="10">
        <f>drone_wear_usd_h*usd_rate*T33/60*(1+fert_wear_premium)</f>
        <v/>
      </c>
      <c r="U48" s="10">
        <f>drone_wear_usd_h*usd_rate*U33/60*(1+fert_wear_premium)</f>
        <v/>
      </c>
      <c r="V48" s="10">
        <f>drone_wear_usd_h*usd_rate*V33/60*(1+fert_wear_premium)</f>
        <v/>
      </c>
      <c r="W48" s="10">
        <f>drone_wear_usd_h*usd_rate*W33/60*(1+fert_wear_premium)</f>
        <v/>
      </c>
      <c r="X48" s="10">
        <f>drone_wear_usd_h*usd_rate*X33/60*(1+fert_wear_premium)</f>
        <v/>
      </c>
      <c r="Y48" s="10">
        <f>drone_wear_usd_h*usd_rate*Y33/60*(1+fert_wear_premium)</f>
        <v/>
      </c>
      <c r="Z48" s="10">
        <f>drone_wear_usd_h*usd_rate*Z33/60*(1+fert_wear_premium)</f>
        <v/>
      </c>
      <c r="AA48" s="10">
        <f>drone_wear_usd_h*usd_rate*AA33/60*(1+fert_wear_premium)</f>
        <v/>
      </c>
      <c r="AB48" s="10">
        <f>drone_wear_usd_h*usd_rate*AB33/60*(1+fert_wear_premium)</f>
        <v/>
      </c>
      <c r="AC48" s="10">
        <f>drone_wear_usd_h*usd_rate*AC33/60*(1+fert_wear_premium)</f>
        <v/>
      </c>
      <c r="AD48" s="10">
        <f>drone_wear_usd_h*usd_rate*AD33/60*(1+fert_wear_premium)</f>
        <v/>
      </c>
      <c r="AE48" s="10">
        <f>drone_wear_usd_h*usd_rate*AE33/60*(1+fert_wear_premium)</f>
        <v/>
      </c>
      <c r="AF48" s="10">
        <f>drone_wear_usd_h*usd_rate*AF33/60*(1+fert_wear_premium)</f>
        <v/>
      </c>
    </row>
    <row r="49">
      <c r="A49" t="inlineStr">
        <is>
          <t>Итого на вылет</t>
        </is>
      </c>
      <c r="B49" t="inlineStr">
        <is>
          <t>сум</t>
        </is>
      </c>
      <c r="C49" s="10">
        <f>C46+C47+C48</f>
        <v/>
      </c>
      <c r="D49" s="10">
        <f>D46+D47+D48</f>
        <v/>
      </c>
      <c r="E49" s="10">
        <f>E46+E47+E48</f>
        <v/>
      </c>
      <c r="F49" s="10">
        <f>F46+F47+F48</f>
        <v/>
      </c>
      <c r="G49" s="10">
        <f>G46+G47+G48</f>
        <v/>
      </c>
      <c r="H49" s="10">
        <f>H46+H47+H48</f>
        <v/>
      </c>
      <c r="I49" s="10">
        <f>I46+I47+I48</f>
        <v/>
      </c>
      <c r="J49" s="10">
        <f>J46+J47+J48</f>
        <v/>
      </c>
      <c r="K49" s="10">
        <f>K46+K47+K48</f>
        <v/>
      </c>
      <c r="L49" s="10">
        <f>L46+L47+L48</f>
        <v/>
      </c>
      <c r="M49" s="10">
        <f>M46+M47+M48</f>
        <v/>
      </c>
      <c r="N49" s="10">
        <f>N46+N47+N48</f>
        <v/>
      </c>
      <c r="O49" s="10">
        <f>O46+O47+O48</f>
        <v/>
      </c>
      <c r="P49" s="10">
        <f>P46+P47+P48</f>
        <v/>
      </c>
      <c r="Q49" s="10">
        <f>Q46+Q47+Q48</f>
        <v/>
      </c>
      <c r="R49" s="10">
        <f>R46+R47+R48</f>
        <v/>
      </c>
      <c r="S49" s="10">
        <f>S46+S47+S48</f>
        <v/>
      </c>
      <c r="T49" s="10">
        <f>T46+T47+T48</f>
        <v/>
      </c>
      <c r="U49" s="10">
        <f>U46+U47+U48</f>
        <v/>
      </c>
      <c r="V49" s="10">
        <f>V46+V47+V48</f>
        <v/>
      </c>
      <c r="W49" s="10">
        <f>W46+W47+W48</f>
        <v/>
      </c>
      <c r="X49" s="10">
        <f>X46+X47+X48</f>
        <v/>
      </c>
      <c r="Y49" s="10">
        <f>Y46+Y47+Y48</f>
        <v/>
      </c>
      <c r="Z49" s="10">
        <f>Z46+Z47+Z48</f>
        <v/>
      </c>
      <c r="AA49" s="10">
        <f>AA46+AA47+AA48</f>
        <v/>
      </c>
      <c r="AB49" s="10">
        <f>AB46+AB47+AB48</f>
        <v/>
      </c>
      <c r="AC49" s="10">
        <f>AC46+AC47+AC48</f>
        <v/>
      </c>
      <c r="AD49" s="10">
        <f>AD46+AD47+AD48</f>
        <v/>
      </c>
      <c r="AE49" s="10">
        <f>AE46+AE47+AE48</f>
        <v/>
      </c>
      <c r="AF49" s="10">
        <f>AF46+AF47+AF48</f>
        <v/>
      </c>
    </row>
    <row r="50">
      <c r="A50" s="3" t="inlineStr">
        <is>
          <t>ЗАТРАТЫ НА РАБОЧИЙ ДЕНЬ</t>
        </is>
      </c>
      <c r="B50" s="2" t="inlineStr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</row>
    <row r="51">
      <c r="A51" t="inlineStr">
        <is>
          <t>Экипаж, транспорт, прочее</t>
        </is>
      </c>
      <c r="B51" t="inlineStr">
        <is>
          <t>сум</t>
        </is>
      </c>
      <c r="C51" s="10">
        <f>C20+helpers_count*helper_day+vehicle_km*(diesel_l_100km/100*diesel_price+vehicle_wear_km)+per_diem_day+other_day</f>
        <v/>
      </c>
      <c r="D51" s="10">
        <f>D20+helpers_count*helper_day+vehicle_km*(diesel_l_100km/100*diesel_price+vehicle_wear_km)+per_diem_day+other_day</f>
        <v/>
      </c>
      <c r="E51" s="10">
        <f>E20+helpers_count*helper_day+vehicle_km*(diesel_l_100km/100*diesel_price+vehicle_wear_km)+per_diem_day+other_day</f>
        <v/>
      </c>
      <c r="F51" s="10">
        <f>F20+helpers_count*helper_day+vehicle_km*(diesel_l_100km/100*diesel_price+vehicle_wear_km)+per_diem_day+other_day</f>
        <v/>
      </c>
      <c r="G51" s="10">
        <f>G20+helpers_count*helper_day+vehicle_km*(diesel_l_100km/100*diesel_price+vehicle_wear_km)+per_diem_day+other_day</f>
        <v/>
      </c>
      <c r="H51" s="10">
        <f>H20+helpers_count*helper_day+vehicle_km*(diesel_l_100km/100*diesel_price+vehicle_wear_km)+per_diem_day+other_day</f>
        <v/>
      </c>
      <c r="I51" s="10">
        <f>I20+helpers_count*helper_day+vehicle_km*(diesel_l_100km/100*diesel_price+vehicle_wear_km)+per_diem_day+other_day</f>
        <v/>
      </c>
      <c r="J51" s="10">
        <f>J20+helpers_count*helper_day+vehicle_km*(diesel_l_100km/100*diesel_price+vehicle_wear_km)+per_diem_day+other_day</f>
        <v/>
      </c>
      <c r="K51" s="10">
        <f>K20+helpers_count*helper_day+vehicle_km*(diesel_l_100km/100*diesel_price+vehicle_wear_km)+per_diem_day+other_day</f>
        <v/>
      </c>
      <c r="L51" s="10">
        <f>L20+helpers_count*helper_day+vehicle_km*(diesel_l_100km/100*diesel_price+vehicle_wear_km)+per_diem_day+other_day</f>
        <v/>
      </c>
      <c r="M51" s="10">
        <f>M20+helpers_count*helper_day+vehicle_km*(diesel_l_100km/100*diesel_price+vehicle_wear_km)+per_diem_day+other_day</f>
        <v/>
      </c>
      <c r="N51" s="10">
        <f>N20+helpers_count*helper_day+vehicle_km*(diesel_l_100km/100*diesel_price+vehicle_wear_km)+per_diem_day+other_day</f>
        <v/>
      </c>
      <c r="O51" s="10">
        <f>O20+helpers_count*helper_day+vehicle_km*(diesel_l_100km/100*diesel_price+vehicle_wear_km)+per_diem_day+other_day</f>
        <v/>
      </c>
      <c r="P51" s="10">
        <f>P20+helpers_count*helper_day+vehicle_km*(diesel_l_100km/100*diesel_price+vehicle_wear_km)+per_diem_day+other_day</f>
        <v/>
      </c>
      <c r="Q51" s="10">
        <f>Q20+helpers_count*helper_day+vehicle_km*(diesel_l_100km/100*diesel_price+vehicle_wear_km)+per_diem_day+other_day</f>
        <v/>
      </c>
      <c r="R51" s="10">
        <f>R20+helpers_count*helper_day+vehicle_km*(diesel_l_100km/100*diesel_price+vehicle_wear_km)+per_diem_day+other_day</f>
        <v/>
      </c>
      <c r="S51" s="10">
        <f>S20+helpers_count*helper_day+vehicle_km*(diesel_l_100km/100*diesel_price+vehicle_wear_km)+per_diem_day+other_day</f>
        <v/>
      </c>
      <c r="T51" s="10">
        <f>T20+helpers_count*helper_day+vehicle_km*(diesel_l_100km/100*diesel_price+vehicle_wear_km)+per_diem_day+other_day</f>
        <v/>
      </c>
      <c r="U51" s="10">
        <f>U20+helpers_count*helper_day+vehicle_km*(diesel_l_100km/100*diesel_price+vehicle_wear_km)+per_diem_day+other_day</f>
        <v/>
      </c>
      <c r="V51" s="10">
        <f>V20+helpers_count*helper_day+vehicle_km*(diesel_l_100km/100*diesel_price+vehicle_wear_km)+per_diem_day+other_day</f>
        <v/>
      </c>
      <c r="W51" s="10">
        <f>W20+helpers_count*helper_day+vehicle_km*(diesel_l_100km/100*diesel_price+vehicle_wear_km)+per_diem_day+other_day</f>
        <v/>
      </c>
      <c r="X51" s="10">
        <f>X20+helpers_count*helper_day+vehicle_km*(diesel_l_100km/100*diesel_price+vehicle_wear_km)+per_diem_day+other_day</f>
        <v/>
      </c>
      <c r="Y51" s="10">
        <f>Y20+helpers_count*helper_day+vehicle_km*(diesel_l_100km/100*diesel_price+vehicle_wear_km)+per_diem_day+other_day</f>
        <v/>
      </c>
      <c r="Z51" s="10">
        <f>Z20+helpers_count*helper_day+vehicle_km*(diesel_l_100km/100*diesel_price+vehicle_wear_km)+per_diem_day+other_day</f>
        <v/>
      </c>
      <c r="AA51" s="10">
        <f>AA20+helpers_count*helper_day+vehicle_km*(diesel_l_100km/100*diesel_price+vehicle_wear_km)+per_diem_day+other_day</f>
        <v/>
      </c>
      <c r="AB51" s="10">
        <f>AB20+helpers_count*helper_day+vehicle_km*(diesel_l_100km/100*diesel_price+vehicle_wear_km)+per_diem_day+other_day</f>
        <v/>
      </c>
      <c r="AC51" s="10">
        <f>AC20+helpers_count*helper_day+vehicle_km*(diesel_l_100km/100*diesel_price+vehicle_wear_km)+per_diem_day+other_day</f>
        <v/>
      </c>
      <c r="AD51" s="10">
        <f>AD20+helpers_count*helper_day+vehicle_km*(diesel_l_100km/100*diesel_price+vehicle_wear_km)+per_diem_day+other_day</f>
        <v/>
      </c>
      <c r="AE51" s="10">
        <f>AE20+helpers_count*helper_day+vehicle_km*(diesel_l_100km/100*diesel_price+vehicle_wear_km)+per_diem_day+other_day</f>
        <v/>
      </c>
      <c r="AF51" s="10">
        <f>AF20+helpers_count*helper_day+vehicle_km*(diesel_l_100km/100*diesel_price+vehicle_wear_km)+per_diem_day+other_day</f>
        <v/>
      </c>
    </row>
    <row r="52">
      <c r="A52" t="inlineStr">
        <is>
          <t>Батареи, бензин, износ за все вылеты</t>
        </is>
      </c>
      <c r="B52" t="inlineStr">
        <is>
          <t>сум</t>
        </is>
      </c>
      <c r="C52" s="10">
        <f>C49*C39</f>
        <v/>
      </c>
      <c r="D52" s="10">
        <f>D49*D39</f>
        <v/>
      </c>
      <c r="E52" s="10">
        <f>E49*E39</f>
        <v/>
      </c>
      <c r="F52" s="10">
        <f>F49*F39</f>
        <v/>
      </c>
      <c r="G52" s="10">
        <f>G49*G39</f>
        <v/>
      </c>
      <c r="H52" s="10">
        <f>H49*H39</f>
        <v/>
      </c>
      <c r="I52" s="10">
        <f>I49*I39</f>
        <v/>
      </c>
      <c r="J52" s="10">
        <f>J49*J39</f>
        <v/>
      </c>
      <c r="K52" s="10">
        <f>K49*K39</f>
        <v/>
      </c>
      <c r="L52" s="10">
        <f>L49*L39</f>
        <v/>
      </c>
      <c r="M52" s="10">
        <f>M49*M39</f>
        <v/>
      </c>
      <c r="N52" s="10">
        <f>N49*N39</f>
        <v/>
      </c>
      <c r="O52" s="10">
        <f>O49*O39</f>
        <v/>
      </c>
      <c r="P52" s="10">
        <f>P49*P39</f>
        <v/>
      </c>
      <c r="Q52" s="10">
        <f>Q49*Q39</f>
        <v/>
      </c>
      <c r="R52" s="10">
        <f>R49*R39</f>
        <v/>
      </c>
      <c r="S52" s="10">
        <f>S49*S39</f>
        <v/>
      </c>
      <c r="T52" s="10">
        <f>T49*T39</f>
        <v/>
      </c>
      <c r="U52" s="10">
        <f>U49*U39</f>
        <v/>
      </c>
      <c r="V52" s="10">
        <f>V49*V39</f>
        <v/>
      </c>
      <c r="W52" s="10">
        <f>W49*W39</f>
        <v/>
      </c>
      <c r="X52" s="10">
        <f>X49*X39</f>
        <v/>
      </c>
      <c r="Y52" s="10">
        <f>Y49*Y39</f>
        <v/>
      </c>
      <c r="Z52" s="10">
        <f>Z49*Z39</f>
        <v/>
      </c>
      <c r="AA52" s="10">
        <f>AA49*AA39</f>
        <v/>
      </c>
      <c r="AB52" s="10">
        <f>AB49*AB39</f>
        <v/>
      </c>
      <c r="AC52" s="10">
        <f>AC49*AC39</f>
        <v/>
      </c>
      <c r="AD52" s="10">
        <f>AD49*AD39</f>
        <v/>
      </c>
      <c r="AE52" s="10">
        <f>AE49*AE39</f>
        <v/>
      </c>
      <c r="AF52" s="10">
        <f>AF49*AF39</f>
        <v/>
      </c>
    </row>
    <row r="53">
      <c r="A53" t="inlineStr">
        <is>
          <t>Амортизация разбрасывателя</t>
        </is>
      </c>
      <c r="B53" t="inlineStr">
        <is>
          <t>сум</t>
        </is>
      </c>
      <c r="C53" s="10">
        <f>spreader_price_usd*usd_rate/spreader_life_seasons/C23</f>
        <v/>
      </c>
      <c r="D53" s="10">
        <f>spreader_price_usd*usd_rate/spreader_life_seasons/D23</f>
        <v/>
      </c>
      <c r="E53" s="10">
        <f>spreader_price_usd*usd_rate/spreader_life_seasons/E23</f>
        <v/>
      </c>
      <c r="F53" s="10">
        <f>spreader_price_usd*usd_rate/spreader_life_seasons/F23</f>
        <v/>
      </c>
      <c r="G53" s="10">
        <f>spreader_price_usd*usd_rate/spreader_life_seasons/G23</f>
        <v/>
      </c>
      <c r="H53" s="10">
        <f>spreader_price_usd*usd_rate/spreader_life_seasons/H23</f>
        <v/>
      </c>
      <c r="I53" s="10">
        <f>spreader_price_usd*usd_rate/spreader_life_seasons/I23</f>
        <v/>
      </c>
      <c r="J53" s="10">
        <f>spreader_price_usd*usd_rate/spreader_life_seasons/J23</f>
        <v/>
      </c>
      <c r="K53" s="10">
        <f>spreader_price_usd*usd_rate/spreader_life_seasons/K23</f>
        <v/>
      </c>
      <c r="L53" s="10">
        <f>spreader_price_usd*usd_rate/spreader_life_seasons/L23</f>
        <v/>
      </c>
      <c r="M53" s="10">
        <f>spreader_price_usd*usd_rate/spreader_life_seasons/M23</f>
        <v/>
      </c>
      <c r="N53" s="10">
        <f>spreader_price_usd*usd_rate/spreader_life_seasons/N23</f>
        <v/>
      </c>
      <c r="O53" s="10">
        <f>spreader_price_usd*usd_rate/spreader_life_seasons/O23</f>
        <v/>
      </c>
      <c r="P53" s="10">
        <f>spreader_price_usd*usd_rate/spreader_life_seasons/P23</f>
        <v/>
      </c>
      <c r="Q53" s="10">
        <f>spreader_price_usd*usd_rate/spreader_life_seasons/Q23</f>
        <v/>
      </c>
      <c r="R53" s="10">
        <f>spreader_price_usd*usd_rate/spreader_life_seasons/R23</f>
        <v/>
      </c>
      <c r="S53" s="10">
        <f>spreader_price_usd*usd_rate/spreader_life_seasons/S23</f>
        <v/>
      </c>
      <c r="T53" s="10">
        <f>spreader_price_usd*usd_rate/spreader_life_seasons/T23</f>
        <v/>
      </c>
      <c r="U53" s="10">
        <f>spreader_price_usd*usd_rate/spreader_life_seasons/U23</f>
        <v/>
      </c>
      <c r="V53" s="10">
        <f>spreader_price_usd*usd_rate/spreader_life_seasons/V23</f>
        <v/>
      </c>
      <c r="W53" s="10">
        <f>spreader_price_usd*usd_rate/spreader_life_seasons/W23</f>
        <v/>
      </c>
      <c r="X53" s="10">
        <f>spreader_price_usd*usd_rate/spreader_life_seasons/X23</f>
        <v/>
      </c>
      <c r="Y53" s="10">
        <f>spreader_price_usd*usd_rate/spreader_life_seasons/Y23</f>
        <v/>
      </c>
      <c r="Z53" s="10">
        <f>spreader_price_usd*usd_rate/spreader_life_seasons/Z23</f>
        <v/>
      </c>
      <c r="AA53" s="10">
        <f>spreader_price_usd*usd_rate/spreader_life_seasons/AA23</f>
        <v/>
      </c>
      <c r="AB53" s="10">
        <f>spreader_price_usd*usd_rate/spreader_life_seasons/AB23</f>
        <v/>
      </c>
      <c r="AC53" s="10">
        <f>spreader_price_usd*usd_rate/spreader_life_seasons/AC23</f>
        <v/>
      </c>
      <c r="AD53" s="10">
        <f>spreader_price_usd*usd_rate/spreader_life_seasons/AD23</f>
        <v/>
      </c>
      <c r="AE53" s="10">
        <f>spreader_price_usd*usd_rate/spreader_life_seasons/AE23</f>
        <v/>
      </c>
      <c r="AF53" s="10">
        <f>spreader_price_usd*usd_rate/spreader_life_seasons/AF23</f>
        <v/>
      </c>
    </row>
    <row r="54">
      <c r="A54" t="inlineStr">
        <is>
          <t>Амортизация дрона (зимняя доля)</t>
        </is>
      </c>
      <c r="B54" t="inlineStr">
        <is>
          <t>сум</t>
        </is>
      </c>
      <c r="C54" s="10">
        <f>drone_price_usd*usd_rate/drone_life_years*drone_dep_winter_share/C23</f>
        <v/>
      </c>
      <c r="D54" s="10">
        <f>drone_price_usd*usd_rate/drone_life_years*drone_dep_winter_share/D23</f>
        <v/>
      </c>
      <c r="E54" s="10">
        <f>drone_price_usd*usd_rate/drone_life_years*drone_dep_winter_share/E23</f>
        <v/>
      </c>
      <c r="F54" s="10">
        <f>drone_price_usd*usd_rate/drone_life_years*drone_dep_winter_share/F23</f>
        <v/>
      </c>
      <c r="G54" s="10">
        <f>drone_price_usd*usd_rate/drone_life_years*drone_dep_winter_share/G23</f>
        <v/>
      </c>
      <c r="H54" s="10">
        <f>drone_price_usd*usd_rate/drone_life_years*drone_dep_winter_share/H23</f>
        <v/>
      </c>
      <c r="I54" s="10">
        <f>drone_price_usd*usd_rate/drone_life_years*drone_dep_winter_share/I23</f>
        <v/>
      </c>
      <c r="J54" s="10">
        <f>drone_price_usd*usd_rate/drone_life_years*drone_dep_winter_share/J23</f>
        <v/>
      </c>
      <c r="K54" s="10">
        <f>drone_price_usd*usd_rate/drone_life_years*drone_dep_winter_share/K23</f>
        <v/>
      </c>
      <c r="L54" s="10">
        <f>drone_price_usd*usd_rate/drone_life_years*drone_dep_winter_share/L23</f>
        <v/>
      </c>
      <c r="M54" s="10">
        <f>drone_price_usd*usd_rate/drone_life_years*drone_dep_winter_share/M23</f>
        <v/>
      </c>
      <c r="N54" s="10">
        <f>drone_price_usd*usd_rate/drone_life_years*drone_dep_winter_share/N23</f>
        <v/>
      </c>
      <c r="O54" s="10">
        <f>drone_price_usd*usd_rate/drone_life_years*drone_dep_winter_share/O23</f>
        <v/>
      </c>
      <c r="P54" s="10">
        <f>drone_price_usd*usd_rate/drone_life_years*drone_dep_winter_share/P23</f>
        <v/>
      </c>
      <c r="Q54" s="10">
        <f>drone_price_usd*usd_rate/drone_life_years*drone_dep_winter_share/Q23</f>
        <v/>
      </c>
      <c r="R54" s="10">
        <f>drone_price_usd*usd_rate/drone_life_years*drone_dep_winter_share/R23</f>
        <v/>
      </c>
      <c r="S54" s="10">
        <f>drone_price_usd*usd_rate/drone_life_years*drone_dep_winter_share/S23</f>
        <v/>
      </c>
      <c r="T54" s="10">
        <f>drone_price_usd*usd_rate/drone_life_years*drone_dep_winter_share/T23</f>
        <v/>
      </c>
      <c r="U54" s="10">
        <f>drone_price_usd*usd_rate/drone_life_years*drone_dep_winter_share/U23</f>
        <v/>
      </c>
      <c r="V54" s="10">
        <f>drone_price_usd*usd_rate/drone_life_years*drone_dep_winter_share/V23</f>
        <v/>
      </c>
      <c r="W54" s="10">
        <f>drone_price_usd*usd_rate/drone_life_years*drone_dep_winter_share/W23</f>
        <v/>
      </c>
      <c r="X54" s="10">
        <f>drone_price_usd*usd_rate/drone_life_years*drone_dep_winter_share/X23</f>
        <v/>
      </c>
      <c r="Y54" s="10">
        <f>drone_price_usd*usd_rate/drone_life_years*drone_dep_winter_share/Y23</f>
        <v/>
      </c>
      <c r="Z54" s="10">
        <f>drone_price_usd*usd_rate/drone_life_years*drone_dep_winter_share/Z23</f>
        <v/>
      </c>
      <c r="AA54" s="10">
        <f>drone_price_usd*usd_rate/drone_life_years*drone_dep_winter_share/AA23</f>
        <v/>
      </c>
      <c r="AB54" s="10">
        <f>drone_price_usd*usd_rate/drone_life_years*drone_dep_winter_share/AB23</f>
        <v/>
      </c>
      <c r="AC54" s="10">
        <f>drone_price_usd*usd_rate/drone_life_years*drone_dep_winter_share/AC23</f>
        <v/>
      </c>
      <c r="AD54" s="10">
        <f>drone_price_usd*usd_rate/drone_life_years*drone_dep_winter_share/AD23</f>
        <v/>
      </c>
      <c r="AE54" s="10">
        <f>drone_price_usd*usd_rate/drone_life_years*drone_dep_winter_share/AE23</f>
        <v/>
      </c>
      <c r="AF54" s="10">
        <f>drone_price_usd*usd_rate/drone_life_years*drone_dep_winter_share/AF23</f>
        <v/>
      </c>
    </row>
    <row r="55">
      <c r="A55" t="inlineStr">
        <is>
          <t>Итого за день</t>
        </is>
      </c>
      <c r="B55" t="inlineStr">
        <is>
          <t>сум</t>
        </is>
      </c>
      <c r="C55" s="10">
        <f>C51+C52+C53+C54</f>
        <v/>
      </c>
      <c r="D55" s="10">
        <f>D51+D52+D53+D54</f>
        <v/>
      </c>
      <c r="E55" s="10">
        <f>E51+E52+E53+E54</f>
        <v/>
      </c>
      <c r="F55" s="10">
        <f>F51+F52+F53+F54</f>
        <v/>
      </c>
      <c r="G55" s="10">
        <f>G51+G52+G53+G54</f>
        <v/>
      </c>
      <c r="H55" s="10">
        <f>H51+H52+H53+H54</f>
        <v/>
      </c>
      <c r="I55" s="10">
        <f>I51+I52+I53+I54</f>
        <v/>
      </c>
      <c r="J55" s="10">
        <f>J51+J52+J53+J54</f>
        <v/>
      </c>
      <c r="K55" s="10">
        <f>K51+K52+K53+K54</f>
        <v/>
      </c>
      <c r="L55" s="10">
        <f>L51+L52+L53+L54</f>
        <v/>
      </c>
      <c r="M55" s="10">
        <f>M51+M52+M53+M54</f>
        <v/>
      </c>
      <c r="N55" s="10">
        <f>N51+N52+N53+N54</f>
        <v/>
      </c>
      <c r="O55" s="10">
        <f>O51+O52+O53+O54</f>
        <v/>
      </c>
      <c r="P55" s="10">
        <f>P51+P52+P53+P54</f>
        <v/>
      </c>
      <c r="Q55" s="10">
        <f>Q51+Q52+Q53+Q54</f>
        <v/>
      </c>
      <c r="R55" s="10">
        <f>R51+R52+R53+R54</f>
        <v/>
      </c>
      <c r="S55" s="10">
        <f>S51+S52+S53+S54</f>
        <v/>
      </c>
      <c r="T55" s="10">
        <f>T51+T52+T53+T54</f>
        <v/>
      </c>
      <c r="U55" s="10">
        <f>U51+U52+U53+U54</f>
        <v/>
      </c>
      <c r="V55" s="10">
        <f>V51+V52+V53+V54</f>
        <v/>
      </c>
      <c r="W55" s="10">
        <f>W51+W52+W53+W54</f>
        <v/>
      </c>
      <c r="X55" s="10">
        <f>X51+X52+X53+X54</f>
        <v/>
      </c>
      <c r="Y55" s="10">
        <f>Y51+Y52+Y53+Y54</f>
        <v/>
      </c>
      <c r="Z55" s="10">
        <f>Z51+Z52+Z53+Z54</f>
        <v/>
      </c>
      <c r="AA55" s="10">
        <f>AA51+AA52+AA53+AA54</f>
        <v/>
      </c>
      <c r="AB55" s="10">
        <f>AB51+AB52+AB53+AB54</f>
        <v/>
      </c>
      <c r="AC55" s="10">
        <f>AC51+AC52+AC53+AC54</f>
        <v/>
      </c>
      <c r="AD55" s="10">
        <f>AD51+AD52+AD53+AD54</f>
        <v/>
      </c>
      <c r="AE55" s="10">
        <f>AE51+AE52+AE53+AE54</f>
        <v/>
      </c>
      <c r="AF55" s="10">
        <f>AF51+AF52+AF53+AF54</f>
        <v/>
      </c>
    </row>
    <row r="56">
      <c r="A56" s="3" t="inlineStr">
        <is>
          <t>СЕБЕСТОИМОСТЬ И ТАРИФ НА ГЕКТАР</t>
        </is>
      </c>
      <c r="B56" s="2" t="inlineStr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</row>
    <row r="57">
      <c r="A57" t="inlineStr">
        <is>
          <t>Батареи, бензин, износ</t>
        </is>
      </c>
      <c r="B57" t="inlineStr">
        <is>
          <t>сум/га</t>
        </is>
      </c>
      <c r="C57" s="10">
        <f>C49*C31</f>
        <v/>
      </c>
      <c r="D57" s="10">
        <f>D49*D31</f>
        <v/>
      </c>
      <c r="E57" s="10">
        <f>E49*E31</f>
        <v/>
      </c>
      <c r="F57" s="10">
        <f>F49*F31</f>
        <v/>
      </c>
      <c r="G57" s="10">
        <f>G49*G31</f>
        <v/>
      </c>
      <c r="H57" s="10">
        <f>H49*H31</f>
        <v/>
      </c>
      <c r="I57" s="10">
        <f>I49*I31</f>
        <v/>
      </c>
      <c r="J57" s="10">
        <f>J49*J31</f>
        <v/>
      </c>
      <c r="K57" s="10">
        <f>K49*K31</f>
        <v/>
      </c>
      <c r="L57" s="10">
        <f>L49*L31</f>
        <v/>
      </c>
      <c r="M57" s="10">
        <f>M49*M31</f>
        <v/>
      </c>
      <c r="N57" s="10">
        <f>N49*N31</f>
        <v/>
      </c>
      <c r="O57" s="10">
        <f>O49*O31</f>
        <v/>
      </c>
      <c r="P57" s="10">
        <f>P49*P31</f>
        <v/>
      </c>
      <c r="Q57" s="10">
        <f>Q49*Q31</f>
        <v/>
      </c>
      <c r="R57" s="10">
        <f>R49*R31</f>
        <v/>
      </c>
      <c r="S57" s="10">
        <f>S49*S31</f>
        <v/>
      </c>
      <c r="T57" s="10">
        <f>T49*T31</f>
        <v/>
      </c>
      <c r="U57" s="10">
        <f>U49*U31</f>
        <v/>
      </c>
      <c r="V57" s="10">
        <f>V49*V31</f>
        <v/>
      </c>
      <c r="W57" s="10">
        <f>W49*W31</f>
        <v/>
      </c>
      <c r="X57" s="10">
        <f>X49*X31</f>
        <v/>
      </c>
      <c r="Y57" s="10">
        <f>Y49*Y31</f>
        <v/>
      </c>
      <c r="Z57" s="10">
        <f>Z49*Z31</f>
        <v/>
      </c>
      <c r="AA57" s="10">
        <f>AA49*AA31</f>
        <v/>
      </c>
      <c r="AB57" s="10">
        <f>AB49*AB31</f>
        <v/>
      </c>
      <c r="AC57" s="10">
        <f>AC49*AC31</f>
        <v/>
      </c>
      <c r="AD57" s="10">
        <f>AD49*AD31</f>
        <v/>
      </c>
      <c r="AE57" s="10">
        <f>AE49*AE31</f>
        <v/>
      </c>
      <c r="AF57" s="10">
        <f>AF49*AF31</f>
        <v/>
      </c>
    </row>
    <row r="58">
      <c r="A58" t="inlineStr">
        <is>
          <t>Экипаж, транспорт, прочее</t>
        </is>
      </c>
      <c r="B58" t="inlineStr">
        <is>
          <t>сум/га</t>
        </is>
      </c>
      <c r="C58" s="10">
        <f>C51/C38</f>
        <v/>
      </c>
      <c r="D58" s="10">
        <f>D51/D38</f>
        <v/>
      </c>
      <c r="E58" s="10">
        <f>E51/E38</f>
        <v/>
      </c>
      <c r="F58" s="10">
        <f>F51/F38</f>
        <v/>
      </c>
      <c r="G58" s="10">
        <f>G51/G38</f>
        <v/>
      </c>
      <c r="H58" s="10">
        <f>H51/H38</f>
        <v/>
      </c>
      <c r="I58" s="10">
        <f>I51/I38</f>
        <v/>
      </c>
      <c r="J58" s="10">
        <f>J51/J38</f>
        <v/>
      </c>
      <c r="K58" s="10">
        <f>K51/K38</f>
        <v/>
      </c>
      <c r="L58" s="10">
        <f>L51/L38</f>
        <v/>
      </c>
      <c r="M58" s="10">
        <f>M51/M38</f>
        <v/>
      </c>
      <c r="N58" s="10">
        <f>N51/N38</f>
        <v/>
      </c>
      <c r="O58" s="10">
        <f>O51/O38</f>
        <v/>
      </c>
      <c r="P58" s="10">
        <f>P51/P38</f>
        <v/>
      </c>
      <c r="Q58" s="10">
        <f>Q51/Q38</f>
        <v/>
      </c>
      <c r="R58" s="10">
        <f>R51/R38</f>
        <v/>
      </c>
      <c r="S58" s="10">
        <f>S51/S38</f>
        <v/>
      </c>
      <c r="T58" s="10">
        <f>T51/T38</f>
        <v/>
      </c>
      <c r="U58" s="10">
        <f>U51/U38</f>
        <v/>
      </c>
      <c r="V58" s="10">
        <f>V51/V38</f>
        <v/>
      </c>
      <c r="W58" s="10">
        <f>W51/W38</f>
        <v/>
      </c>
      <c r="X58" s="10">
        <f>X51/X38</f>
        <v/>
      </c>
      <c r="Y58" s="10">
        <f>Y51/Y38</f>
        <v/>
      </c>
      <c r="Z58" s="10">
        <f>Z51/Z38</f>
        <v/>
      </c>
      <c r="AA58" s="10">
        <f>AA51/AA38</f>
        <v/>
      </c>
      <c r="AB58" s="10">
        <f>AB51/AB38</f>
        <v/>
      </c>
      <c r="AC58" s="10">
        <f>AC51/AC38</f>
        <v/>
      </c>
      <c r="AD58" s="10">
        <f>AD51/AD38</f>
        <v/>
      </c>
      <c r="AE58" s="10">
        <f>AE51/AE38</f>
        <v/>
      </c>
      <c r="AF58" s="10">
        <f>AF51/AF38</f>
        <v/>
      </c>
    </row>
    <row r="59">
      <c r="A59" t="inlineStr">
        <is>
          <t>Амортизация разбрасывателя</t>
        </is>
      </c>
      <c r="B59" t="inlineStr">
        <is>
          <t>сум/га</t>
        </is>
      </c>
      <c r="C59" s="10">
        <f>C53/C38</f>
        <v/>
      </c>
      <c r="D59" s="10">
        <f>D53/D38</f>
        <v/>
      </c>
      <c r="E59" s="10">
        <f>E53/E38</f>
        <v/>
      </c>
      <c r="F59" s="10">
        <f>F53/F38</f>
        <v/>
      </c>
      <c r="G59" s="10">
        <f>G53/G38</f>
        <v/>
      </c>
      <c r="H59" s="10">
        <f>H53/H38</f>
        <v/>
      </c>
      <c r="I59" s="10">
        <f>I53/I38</f>
        <v/>
      </c>
      <c r="J59" s="10">
        <f>J53/J38</f>
        <v/>
      </c>
      <c r="K59" s="10">
        <f>K53/K38</f>
        <v/>
      </c>
      <c r="L59" s="10">
        <f>L53/L38</f>
        <v/>
      </c>
      <c r="M59" s="10">
        <f>M53/M38</f>
        <v/>
      </c>
      <c r="N59" s="10">
        <f>N53/N38</f>
        <v/>
      </c>
      <c r="O59" s="10">
        <f>O53/O38</f>
        <v/>
      </c>
      <c r="P59" s="10">
        <f>P53/P38</f>
        <v/>
      </c>
      <c r="Q59" s="10">
        <f>Q53/Q38</f>
        <v/>
      </c>
      <c r="R59" s="10">
        <f>R53/R38</f>
        <v/>
      </c>
      <c r="S59" s="10">
        <f>S53/S38</f>
        <v/>
      </c>
      <c r="T59" s="10">
        <f>T53/T38</f>
        <v/>
      </c>
      <c r="U59" s="10">
        <f>U53/U38</f>
        <v/>
      </c>
      <c r="V59" s="10">
        <f>V53/V38</f>
        <v/>
      </c>
      <c r="W59" s="10">
        <f>W53/W38</f>
        <v/>
      </c>
      <c r="X59" s="10">
        <f>X53/X38</f>
        <v/>
      </c>
      <c r="Y59" s="10">
        <f>Y53/Y38</f>
        <v/>
      </c>
      <c r="Z59" s="10">
        <f>Z53/Z38</f>
        <v/>
      </c>
      <c r="AA59" s="10">
        <f>AA53/AA38</f>
        <v/>
      </c>
      <c r="AB59" s="10">
        <f>AB53/AB38</f>
        <v/>
      </c>
      <c r="AC59" s="10">
        <f>AC53/AC38</f>
        <v/>
      </c>
      <c r="AD59" s="10">
        <f>AD53/AD38</f>
        <v/>
      </c>
      <c r="AE59" s="10">
        <f>AE53/AE38</f>
        <v/>
      </c>
      <c r="AF59" s="10">
        <f>AF53/AF38</f>
        <v/>
      </c>
    </row>
    <row r="60">
      <c r="A60" t="inlineStr">
        <is>
          <t>Амортизация дрона (зимняя доля)</t>
        </is>
      </c>
      <c r="B60" t="inlineStr">
        <is>
          <t>сум/га</t>
        </is>
      </c>
      <c r="C60" s="10">
        <f>C54/C38</f>
        <v/>
      </c>
      <c r="D60" s="10">
        <f>D54/D38</f>
        <v/>
      </c>
      <c r="E60" s="10">
        <f>E54/E38</f>
        <v/>
      </c>
      <c r="F60" s="10">
        <f>F54/F38</f>
        <v/>
      </c>
      <c r="G60" s="10">
        <f>G54/G38</f>
        <v/>
      </c>
      <c r="H60" s="10">
        <f>H54/H38</f>
        <v/>
      </c>
      <c r="I60" s="10">
        <f>I54/I38</f>
        <v/>
      </c>
      <c r="J60" s="10">
        <f>J54/J38</f>
        <v/>
      </c>
      <c r="K60" s="10">
        <f>K54/K38</f>
        <v/>
      </c>
      <c r="L60" s="10">
        <f>L54/L38</f>
        <v/>
      </c>
      <c r="M60" s="10">
        <f>M54/M38</f>
        <v/>
      </c>
      <c r="N60" s="10">
        <f>N54/N38</f>
        <v/>
      </c>
      <c r="O60" s="10">
        <f>O54/O38</f>
        <v/>
      </c>
      <c r="P60" s="10">
        <f>P54/P38</f>
        <v/>
      </c>
      <c r="Q60" s="10">
        <f>Q54/Q38</f>
        <v/>
      </c>
      <c r="R60" s="10">
        <f>R54/R38</f>
        <v/>
      </c>
      <c r="S60" s="10">
        <f>S54/S38</f>
        <v/>
      </c>
      <c r="T60" s="10">
        <f>T54/T38</f>
        <v/>
      </c>
      <c r="U60" s="10">
        <f>U54/U38</f>
        <v/>
      </c>
      <c r="V60" s="10">
        <f>V54/V38</f>
        <v/>
      </c>
      <c r="W60" s="10">
        <f>W54/W38</f>
        <v/>
      </c>
      <c r="X60" s="10">
        <f>X54/X38</f>
        <v/>
      </c>
      <c r="Y60" s="10">
        <f>Y54/Y38</f>
        <v/>
      </c>
      <c r="Z60" s="10">
        <f>Z54/Z38</f>
        <v/>
      </c>
      <c r="AA60" s="10">
        <f>AA54/AA38</f>
        <v/>
      </c>
      <c r="AB60" s="10">
        <f>AB54/AB38</f>
        <v/>
      </c>
      <c r="AC60" s="10">
        <f>AC54/AC38</f>
        <v/>
      </c>
      <c r="AD60" s="10">
        <f>AD54/AD38</f>
        <v/>
      </c>
      <c r="AE60" s="10">
        <f>AE54/AE38</f>
        <v/>
      </c>
      <c r="AF60" s="10">
        <f>AF54/AF38</f>
        <v/>
      </c>
    </row>
    <row r="61">
      <c r="A61" s="1" t="inlineStr">
        <is>
          <t>ПРЯМАЯ СЕБЕСТОИМОСТЬ ГЕКТАРА</t>
        </is>
      </c>
      <c r="B61" t="inlineStr">
        <is>
          <t>сум/га</t>
        </is>
      </c>
      <c r="C61" s="12">
        <f>C57+C58+C59+C60</f>
        <v/>
      </c>
      <c r="D61" s="12">
        <f>D57+D58+D59+D60</f>
        <v/>
      </c>
      <c r="E61" s="12">
        <f>E57+E58+E59+E60</f>
        <v/>
      </c>
      <c r="F61" s="12">
        <f>F57+F58+F59+F60</f>
        <v/>
      </c>
      <c r="G61" s="12">
        <f>G57+G58+G59+G60</f>
        <v/>
      </c>
      <c r="H61" s="12">
        <f>H57+H58+H59+H60</f>
        <v/>
      </c>
      <c r="I61" s="12">
        <f>I57+I58+I59+I60</f>
        <v/>
      </c>
      <c r="J61" s="12">
        <f>J57+J58+J59+J60</f>
        <v/>
      </c>
      <c r="K61" s="12">
        <f>K57+K58+K59+K60</f>
        <v/>
      </c>
      <c r="L61" s="12">
        <f>L57+L58+L59+L60</f>
        <v/>
      </c>
      <c r="M61" s="12">
        <f>M57+M58+M59+M60</f>
        <v/>
      </c>
      <c r="N61" s="12">
        <f>N57+N58+N59+N60</f>
        <v/>
      </c>
      <c r="O61" s="12">
        <f>O57+O58+O59+O60</f>
        <v/>
      </c>
      <c r="P61" s="12">
        <f>P57+P58+P59+P60</f>
        <v/>
      </c>
      <c r="Q61" s="12">
        <f>Q57+Q58+Q59+Q60</f>
        <v/>
      </c>
      <c r="R61" s="12">
        <f>R57+R58+R59+R60</f>
        <v/>
      </c>
      <c r="S61" s="12">
        <f>S57+S58+S59+S60</f>
        <v/>
      </c>
      <c r="T61" s="12">
        <f>T57+T58+T59+T60</f>
        <v/>
      </c>
      <c r="U61" s="12">
        <f>U57+U58+U59+U60</f>
        <v/>
      </c>
      <c r="V61" s="12">
        <f>V57+V58+V59+V60</f>
        <v/>
      </c>
      <c r="W61" s="12">
        <f>W57+W58+W59+W60</f>
        <v/>
      </c>
      <c r="X61" s="12">
        <f>X57+X58+X59+X60</f>
        <v/>
      </c>
      <c r="Y61" s="12">
        <f>Y57+Y58+Y59+Y60</f>
        <v/>
      </c>
      <c r="Z61" s="12">
        <f>Z57+Z58+Z59+Z60</f>
        <v/>
      </c>
      <c r="AA61" s="12">
        <f>AA57+AA58+AA59+AA60</f>
        <v/>
      </c>
      <c r="AB61" s="12">
        <f>AB57+AB58+AB59+AB60</f>
        <v/>
      </c>
      <c r="AC61" s="12">
        <f>AC57+AC58+AC59+AC60</f>
        <v/>
      </c>
      <c r="AD61" s="12">
        <f>AD57+AD58+AD59+AD60</f>
        <v/>
      </c>
      <c r="AE61" s="12">
        <f>AE57+AE58+AE59+AE60</f>
        <v/>
      </c>
      <c r="AF61" s="12">
        <f>AF57+AF58+AF59+AF60</f>
        <v/>
      </c>
    </row>
    <row r="62">
      <c r="A62" t="inlineStr">
        <is>
          <t>Тариф безубыточности (с накладными, без маржи)</t>
        </is>
      </c>
      <c r="B62" t="inlineStr">
        <is>
          <t>сум/га</t>
        </is>
      </c>
      <c r="C62" s="10">
        <f>C61/(1-overhead_pct)</f>
        <v/>
      </c>
      <c r="D62" s="10">
        <f>D61/(1-overhead_pct)</f>
        <v/>
      </c>
      <c r="E62" s="10">
        <f>E61/(1-overhead_pct)</f>
        <v/>
      </c>
      <c r="F62" s="10">
        <f>F61/(1-overhead_pct)</f>
        <v/>
      </c>
      <c r="G62" s="10">
        <f>G61/(1-overhead_pct)</f>
        <v/>
      </c>
      <c r="H62" s="10">
        <f>H61/(1-overhead_pct)</f>
        <v/>
      </c>
      <c r="I62" s="10">
        <f>I61/(1-overhead_pct)</f>
        <v/>
      </c>
      <c r="J62" s="10">
        <f>J61/(1-overhead_pct)</f>
        <v/>
      </c>
      <c r="K62" s="10">
        <f>K61/(1-overhead_pct)</f>
        <v/>
      </c>
      <c r="L62" s="10">
        <f>L61/(1-overhead_pct)</f>
        <v/>
      </c>
      <c r="M62" s="10">
        <f>M61/(1-overhead_pct)</f>
        <v/>
      </c>
      <c r="N62" s="10">
        <f>N61/(1-overhead_pct)</f>
        <v/>
      </c>
      <c r="O62" s="10">
        <f>O61/(1-overhead_pct)</f>
        <v/>
      </c>
      <c r="P62" s="10">
        <f>P61/(1-overhead_pct)</f>
        <v/>
      </c>
      <c r="Q62" s="10">
        <f>Q61/(1-overhead_pct)</f>
        <v/>
      </c>
      <c r="R62" s="10">
        <f>R61/(1-overhead_pct)</f>
        <v/>
      </c>
      <c r="S62" s="10">
        <f>S61/(1-overhead_pct)</f>
        <v/>
      </c>
      <c r="T62" s="10">
        <f>T61/(1-overhead_pct)</f>
        <v/>
      </c>
      <c r="U62" s="10">
        <f>U61/(1-overhead_pct)</f>
        <v/>
      </c>
      <c r="V62" s="10">
        <f>V61/(1-overhead_pct)</f>
        <v/>
      </c>
      <c r="W62" s="10">
        <f>W61/(1-overhead_pct)</f>
        <v/>
      </c>
      <c r="X62" s="10">
        <f>X61/(1-overhead_pct)</f>
        <v/>
      </c>
      <c r="Y62" s="10">
        <f>Y61/(1-overhead_pct)</f>
        <v/>
      </c>
      <c r="Z62" s="10">
        <f>Z61/(1-overhead_pct)</f>
        <v/>
      </c>
      <c r="AA62" s="10">
        <f>AA61/(1-overhead_pct)</f>
        <v/>
      </c>
      <c r="AB62" s="10">
        <f>AB61/(1-overhead_pct)</f>
        <v/>
      </c>
      <c r="AC62" s="10">
        <f>AC61/(1-overhead_pct)</f>
        <v/>
      </c>
      <c r="AD62" s="10">
        <f>AD61/(1-overhead_pct)</f>
        <v/>
      </c>
      <c r="AE62" s="10">
        <f>AE61/(1-overhead_pct)</f>
        <v/>
      </c>
      <c r="AF62" s="10">
        <f>AF61/(1-overhead_pct)</f>
        <v/>
      </c>
    </row>
    <row r="63">
      <c r="A63" s="1" t="inlineStr">
        <is>
          <t>ЦЕЛЕВОЙ ТАРИФ (с накладными и маржой)</t>
        </is>
      </c>
      <c r="B63" t="inlineStr">
        <is>
          <t>сум/га</t>
        </is>
      </c>
      <c r="C63" s="12">
        <f>C61/(1-overhead_pct-target_margin_pct)</f>
        <v/>
      </c>
      <c r="D63" s="12">
        <f>D61/(1-overhead_pct-target_margin_pct)</f>
        <v/>
      </c>
      <c r="E63" s="12">
        <f>E61/(1-overhead_pct-target_margin_pct)</f>
        <v/>
      </c>
      <c r="F63" s="12">
        <f>F61/(1-overhead_pct-target_margin_pct)</f>
        <v/>
      </c>
      <c r="G63" s="12">
        <f>G61/(1-overhead_pct-target_margin_pct)</f>
        <v/>
      </c>
      <c r="H63" s="12">
        <f>H61/(1-overhead_pct-target_margin_pct)</f>
        <v/>
      </c>
      <c r="I63" s="12">
        <f>I61/(1-overhead_pct-target_margin_pct)</f>
        <v/>
      </c>
      <c r="J63" s="12">
        <f>J61/(1-overhead_pct-target_margin_pct)</f>
        <v/>
      </c>
      <c r="K63" s="12">
        <f>K61/(1-overhead_pct-target_margin_pct)</f>
        <v/>
      </c>
      <c r="L63" s="12">
        <f>L61/(1-overhead_pct-target_margin_pct)</f>
        <v/>
      </c>
      <c r="M63" s="12">
        <f>M61/(1-overhead_pct-target_margin_pct)</f>
        <v/>
      </c>
      <c r="N63" s="12">
        <f>N61/(1-overhead_pct-target_margin_pct)</f>
        <v/>
      </c>
      <c r="O63" s="12">
        <f>O61/(1-overhead_pct-target_margin_pct)</f>
        <v/>
      </c>
      <c r="P63" s="12">
        <f>P61/(1-overhead_pct-target_margin_pct)</f>
        <v/>
      </c>
      <c r="Q63" s="12">
        <f>Q61/(1-overhead_pct-target_margin_pct)</f>
        <v/>
      </c>
      <c r="R63" s="12">
        <f>R61/(1-overhead_pct-target_margin_pct)</f>
        <v/>
      </c>
      <c r="S63" s="12">
        <f>S61/(1-overhead_pct-target_margin_pct)</f>
        <v/>
      </c>
      <c r="T63" s="12">
        <f>T61/(1-overhead_pct-target_margin_pct)</f>
        <v/>
      </c>
      <c r="U63" s="12">
        <f>U61/(1-overhead_pct-target_margin_pct)</f>
        <v/>
      </c>
      <c r="V63" s="12">
        <f>V61/(1-overhead_pct-target_margin_pct)</f>
        <v/>
      </c>
      <c r="W63" s="12">
        <f>W61/(1-overhead_pct-target_margin_pct)</f>
        <v/>
      </c>
      <c r="X63" s="12">
        <f>X61/(1-overhead_pct-target_margin_pct)</f>
        <v/>
      </c>
      <c r="Y63" s="12">
        <f>Y61/(1-overhead_pct-target_margin_pct)</f>
        <v/>
      </c>
      <c r="Z63" s="12">
        <f>Z61/(1-overhead_pct-target_margin_pct)</f>
        <v/>
      </c>
      <c r="AA63" s="12">
        <f>AA61/(1-overhead_pct-target_margin_pct)</f>
        <v/>
      </c>
      <c r="AB63" s="12">
        <f>AB61/(1-overhead_pct-target_margin_pct)</f>
        <v/>
      </c>
      <c r="AC63" s="12">
        <f>AC61/(1-overhead_pct-target_margin_pct)</f>
        <v/>
      </c>
      <c r="AD63" s="12">
        <f>AD61/(1-overhead_pct-target_margin_pct)</f>
        <v/>
      </c>
      <c r="AE63" s="12">
        <f>AE61/(1-overhead_pct-target_margin_pct)</f>
        <v/>
      </c>
      <c r="AF63" s="12">
        <f>AF61/(1-overhead_pct-target_margin_pct)</f>
        <v/>
      </c>
    </row>
    <row r="64">
      <c r="A64" t="inlineStr">
        <is>
          <t>Тариф безубыточности за тонну удобрения</t>
        </is>
      </c>
      <c r="B64" t="inlineStr">
        <is>
          <t>сум/т</t>
        </is>
      </c>
      <c r="C64" s="10">
        <f>C62/C2*1000</f>
        <v/>
      </c>
      <c r="D64" s="10">
        <f>D62/D2*1000</f>
        <v/>
      </c>
      <c r="E64" s="10">
        <f>E62/E2*1000</f>
        <v/>
      </c>
      <c r="F64" s="10">
        <f>F62/F2*1000</f>
        <v/>
      </c>
      <c r="G64" s="10">
        <f>G62/G2*1000</f>
        <v/>
      </c>
      <c r="H64" s="10">
        <f>H62/H2*1000</f>
        <v/>
      </c>
      <c r="I64" s="10">
        <f>I62/I2*1000</f>
        <v/>
      </c>
      <c r="J64" s="10">
        <f>J62/J2*1000</f>
        <v/>
      </c>
      <c r="K64" s="10">
        <f>K62/K2*1000</f>
        <v/>
      </c>
      <c r="L64" s="10">
        <f>L62/L2*1000</f>
        <v/>
      </c>
      <c r="M64" s="10">
        <f>M62/M2*1000</f>
        <v/>
      </c>
      <c r="N64" s="10">
        <f>N62/N2*1000</f>
        <v/>
      </c>
      <c r="O64" s="10">
        <f>O62/O2*1000</f>
        <v/>
      </c>
      <c r="P64" s="10">
        <f>P62/P2*1000</f>
        <v/>
      </c>
      <c r="Q64" s="10">
        <f>Q62/Q2*1000</f>
        <v/>
      </c>
      <c r="R64" s="10">
        <f>R62/R2*1000</f>
        <v/>
      </c>
      <c r="S64" s="10">
        <f>S62/S2*1000</f>
        <v/>
      </c>
      <c r="T64" s="10">
        <f>T62/T2*1000</f>
        <v/>
      </c>
      <c r="U64" s="10">
        <f>U62/U2*1000</f>
        <v/>
      </c>
      <c r="V64" s="10">
        <f>V62/V2*1000</f>
        <v/>
      </c>
      <c r="W64" s="10">
        <f>W62/W2*1000</f>
        <v/>
      </c>
      <c r="X64" s="10">
        <f>X62/X2*1000</f>
        <v/>
      </c>
      <c r="Y64" s="10">
        <f>Y62/Y2*1000</f>
        <v/>
      </c>
      <c r="Z64" s="10">
        <f>Z62/Z2*1000</f>
        <v/>
      </c>
      <c r="AA64" s="10">
        <f>AA62/AA2*1000</f>
        <v/>
      </c>
      <c r="AB64" s="10">
        <f>AB62/AB2*1000</f>
        <v/>
      </c>
      <c r="AC64" s="10">
        <f>AC62/AC2*1000</f>
        <v/>
      </c>
      <c r="AD64" s="10">
        <f>AD62/AD2*1000</f>
        <v/>
      </c>
      <c r="AE64" s="10">
        <f>AE62/AE2*1000</f>
        <v/>
      </c>
      <c r="AF64" s="10">
        <f>AF62/AF2*1000</f>
        <v/>
      </c>
    </row>
    <row r="65">
      <c r="A65" s="1" t="inlineStr">
        <is>
          <t>Целевой тариф за тонну удобрения</t>
        </is>
      </c>
      <c r="B65" t="inlineStr">
        <is>
          <t>сум/т</t>
        </is>
      </c>
      <c r="C65" s="12">
        <f>C63/C2*1000</f>
        <v/>
      </c>
      <c r="D65" s="12">
        <f>D63/D2*1000</f>
        <v/>
      </c>
      <c r="E65" s="12">
        <f>E63/E2*1000</f>
        <v/>
      </c>
      <c r="F65" s="12">
        <f>F63/F2*1000</f>
        <v/>
      </c>
      <c r="G65" s="12">
        <f>G63/G2*1000</f>
        <v/>
      </c>
      <c r="H65" s="12">
        <f>H63/H2*1000</f>
        <v/>
      </c>
      <c r="I65" s="12">
        <f>I63/I2*1000</f>
        <v/>
      </c>
      <c r="J65" s="12">
        <f>J63/J2*1000</f>
        <v/>
      </c>
      <c r="K65" s="12">
        <f>K63/K2*1000</f>
        <v/>
      </c>
      <c r="L65" s="12">
        <f>L63/L2*1000</f>
        <v/>
      </c>
      <c r="M65" s="12">
        <f>M63/M2*1000</f>
        <v/>
      </c>
      <c r="N65" s="12">
        <f>N63/N2*1000</f>
        <v/>
      </c>
      <c r="O65" s="12">
        <f>O63/O2*1000</f>
        <v/>
      </c>
      <c r="P65" s="12">
        <f>P63/P2*1000</f>
        <v/>
      </c>
      <c r="Q65" s="12">
        <f>Q63/Q2*1000</f>
        <v/>
      </c>
      <c r="R65" s="12">
        <f>R63/R2*1000</f>
        <v/>
      </c>
      <c r="S65" s="12">
        <f>S63/S2*1000</f>
        <v/>
      </c>
      <c r="T65" s="12">
        <f>T63/T2*1000</f>
        <v/>
      </c>
      <c r="U65" s="12">
        <f>U63/U2*1000</f>
        <v/>
      </c>
      <c r="V65" s="12">
        <f>V63/V2*1000</f>
        <v/>
      </c>
      <c r="W65" s="12">
        <f>W63/W2*1000</f>
        <v/>
      </c>
      <c r="X65" s="12">
        <f>X63/X2*1000</f>
        <v/>
      </c>
      <c r="Y65" s="12">
        <f>Y63/Y2*1000</f>
        <v/>
      </c>
      <c r="Z65" s="12">
        <f>Z63/Z2*1000</f>
        <v/>
      </c>
      <c r="AA65" s="12">
        <f>AA63/AA2*1000</f>
        <v/>
      </c>
      <c r="AB65" s="12">
        <f>AB63/AB2*1000</f>
        <v/>
      </c>
      <c r="AC65" s="12">
        <f>AC63/AC2*1000</f>
        <v/>
      </c>
      <c r="AD65" s="12">
        <f>AD63/AD2*1000</f>
        <v/>
      </c>
      <c r="AE65" s="12">
        <f>AE63/AE2*1000</f>
        <v/>
      </c>
      <c r="AF65" s="12">
        <f>AF63/AF2*1000</f>
        <v/>
      </c>
    </row>
    <row r="66">
      <c r="A66" t="inlineStr">
        <is>
          <t>Выручка за день по целевому тарифу</t>
        </is>
      </c>
      <c r="B66" t="inlineStr">
        <is>
          <t>сум</t>
        </is>
      </c>
      <c r="C66" s="10">
        <f>C63*C38</f>
        <v/>
      </c>
      <c r="D66" s="10">
        <f>D63*D38</f>
        <v/>
      </c>
      <c r="E66" s="10">
        <f>E63*E38</f>
        <v/>
      </c>
      <c r="F66" s="10">
        <f>F63*F38</f>
        <v/>
      </c>
      <c r="G66" s="10">
        <f>G63*G38</f>
        <v/>
      </c>
      <c r="H66" s="10">
        <f>H63*H38</f>
        <v/>
      </c>
      <c r="I66" s="10">
        <f>I63*I38</f>
        <v/>
      </c>
      <c r="J66" s="10">
        <f>J63*J38</f>
        <v/>
      </c>
      <c r="K66" s="10">
        <f>K63*K38</f>
        <v/>
      </c>
      <c r="L66" s="10">
        <f>L63*L38</f>
        <v/>
      </c>
      <c r="M66" s="10">
        <f>M63*M38</f>
        <v/>
      </c>
      <c r="N66" s="10">
        <f>N63*N38</f>
        <v/>
      </c>
      <c r="O66" s="10">
        <f>O63*O38</f>
        <v/>
      </c>
      <c r="P66" s="10">
        <f>P63*P38</f>
        <v/>
      </c>
      <c r="Q66" s="10">
        <f>Q63*Q38</f>
        <v/>
      </c>
      <c r="R66" s="10">
        <f>R63*R38</f>
        <v/>
      </c>
      <c r="S66" s="10">
        <f>S63*S38</f>
        <v/>
      </c>
      <c r="T66" s="10">
        <f>T63*T38</f>
        <v/>
      </c>
      <c r="U66" s="10">
        <f>U63*U38</f>
        <v/>
      </c>
      <c r="V66" s="10">
        <f>V63*V38</f>
        <v/>
      </c>
      <c r="W66" s="10">
        <f>W63*W38</f>
        <v/>
      </c>
      <c r="X66" s="10">
        <f>X63*X38</f>
        <v/>
      </c>
      <c r="Y66" s="10">
        <f>Y63*Y38</f>
        <v/>
      </c>
      <c r="Z66" s="10">
        <f>Z63*Z38</f>
        <v/>
      </c>
      <c r="AA66" s="10">
        <f>AA63*AA38</f>
        <v/>
      </c>
      <c r="AB66" s="10">
        <f>AB63*AB38</f>
        <v/>
      </c>
      <c r="AC66" s="10">
        <f>AC63*AC38</f>
        <v/>
      </c>
      <c r="AD66" s="10">
        <f>AD63*AD38</f>
        <v/>
      </c>
      <c r="AE66" s="10">
        <f>AE63*AE38</f>
        <v/>
      </c>
      <c r="AF66" s="10">
        <f>AF63*AF38</f>
        <v/>
      </c>
    </row>
    <row r="67">
      <c r="A67" t="inlineStr">
        <is>
          <t>Маржа за день по целевому тарифу</t>
        </is>
      </c>
      <c r="B67" t="inlineStr">
        <is>
          <t>сум</t>
        </is>
      </c>
      <c r="C67" s="10">
        <f>C66-C55-C66*overhead_pct</f>
        <v/>
      </c>
      <c r="D67" s="10">
        <f>D66-D55-D66*overhead_pct</f>
        <v/>
      </c>
      <c r="E67" s="10">
        <f>E66-E55-E66*overhead_pct</f>
        <v/>
      </c>
      <c r="F67" s="10">
        <f>F66-F55-F66*overhead_pct</f>
        <v/>
      </c>
      <c r="G67" s="10">
        <f>G66-G55-G66*overhead_pct</f>
        <v/>
      </c>
      <c r="H67" s="10">
        <f>H66-H55-H66*overhead_pct</f>
        <v/>
      </c>
      <c r="I67" s="10">
        <f>I66-I55-I66*overhead_pct</f>
        <v/>
      </c>
      <c r="J67" s="10">
        <f>J66-J55-J66*overhead_pct</f>
        <v/>
      </c>
      <c r="K67" s="10">
        <f>K66-K55-K66*overhead_pct</f>
        <v/>
      </c>
      <c r="L67" s="10">
        <f>L66-L55-L66*overhead_pct</f>
        <v/>
      </c>
      <c r="M67" s="10">
        <f>M66-M55-M66*overhead_pct</f>
        <v/>
      </c>
      <c r="N67" s="10">
        <f>N66-N55-N66*overhead_pct</f>
        <v/>
      </c>
      <c r="O67" s="10">
        <f>O66-O55-O66*overhead_pct</f>
        <v/>
      </c>
      <c r="P67" s="10">
        <f>P66-P55-P66*overhead_pct</f>
        <v/>
      </c>
      <c r="Q67" s="10">
        <f>Q66-Q55-Q66*overhead_pct</f>
        <v/>
      </c>
      <c r="R67" s="10">
        <f>R66-R55-R66*overhead_pct</f>
        <v/>
      </c>
      <c r="S67" s="10">
        <f>S66-S55-S66*overhead_pct</f>
        <v/>
      </c>
      <c r="T67" s="10">
        <f>T66-T55-T66*overhead_pct</f>
        <v/>
      </c>
      <c r="U67" s="10">
        <f>U66-U55-U66*overhead_pct</f>
        <v/>
      </c>
      <c r="V67" s="10">
        <f>V66-V55-V66*overhead_pct</f>
        <v/>
      </c>
      <c r="W67" s="10">
        <f>W66-W55-W66*overhead_pct</f>
        <v/>
      </c>
      <c r="X67" s="10">
        <f>X66-X55-X66*overhead_pct</f>
        <v/>
      </c>
      <c r="Y67" s="10">
        <f>Y66-Y55-Y66*overhead_pct</f>
        <v/>
      </c>
      <c r="Z67" s="10">
        <f>Z66-Z55-Z66*overhead_pct</f>
        <v/>
      </c>
      <c r="AA67" s="10">
        <f>AA66-AA55-AA66*overhead_pct</f>
        <v/>
      </c>
      <c r="AB67" s="10">
        <f>AB66-AB55-AB66*overhead_pct</f>
        <v/>
      </c>
      <c r="AC67" s="10">
        <f>AC66-AC55-AC66*overhead_pct</f>
        <v/>
      </c>
      <c r="AD67" s="10">
        <f>AD66-AD55-AD66*overhead_pct</f>
        <v/>
      </c>
      <c r="AE67" s="10">
        <f>AE66-AE55-AE66*overhead_pct</f>
        <v/>
      </c>
      <c r="AF67" s="10">
        <f>AF66-AF55-AF66*overhead_pct</f>
        <v/>
      </c>
    </row>
    <row r="68">
      <c r="A68" t="inlineStr">
        <is>
          <t>Целевой тариф к тарифу опрыскивания</t>
        </is>
      </c>
      <c r="B68" t="inlineStr">
        <is>
          <t>раз</t>
        </is>
      </c>
      <c r="C68" s="9">
        <f>C63/liquid_tariff_external</f>
        <v/>
      </c>
      <c r="D68" s="9">
        <f>D63/liquid_tariff_external</f>
        <v/>
      </c>
      <c r="E68" s="9">
        <f>E63/liquid_tariff_external</f>
        <v/>
      </c>
      <c r="F68" s="9">
        <f>F63/liquid_tariff_external</f>
        <v/>
      </c>
      <c r="G68" s="9">
        <f>G63/liquid_tariff_external</f>
        <v/>
      </c>
      <c r="H68" s="9">
        <f>H63/liquid_tariff_external</f>
        <v/>
      </c>
      <c r="I68" s="9">
        <f>I63/liquid_tariff_external</f>
        <v/>
      </c>
      <c r="J68" s="9">
        <f>J63/liquid_tariff_external</f>
        <v/>
      </c>
      <c r="K68" s="9">
        <f>K63/liquid_tariff_external</f>
        <v/>
      </c>
      <c r="L68" s="9">
        <f>L63/liquid_tariff_external</f>
        <v/>
      </c>
      <c r="M68" s="9">
        <f>M63/liquid_tariff_external</f>
        <v/>
      </c>
      <c r="N68" s="9">
        <f>N63/liquid_tariff_external</f>
        <v/>
      </c>
      <c r="O68" s="9">
        <f>O63/liquid_tariff_external</f>
        <v/>
      </c>
      <c r="P68" s="9">
        <f>P63/liquid_tariff_external</f>
        <v/>
      </c>
      <c r="Q68" s="9">
        <f>Q63/liquid_tariff_external</f>
        <v/>
      </c>
      <c r="R68" s="9">
        <f>R63/liquid_tariff_external</f>
        <v/>
      </c>
      <c r="S68" s="9">
        <f>S63/liquid_tariff_external</f>
        <v/>
      </c>
      <c r="T68" s="9">
        <f>T63/liquid_tariff_external</f>
        <v/>
      </c>
      <c r="U68" s="9">
        <f>U63/liquid_tariff_external</f>
        <v/>
      </c>
      <c r="V68" s="9">
        <f>V63/liquid_tariff_external</f>
        <v/>
      </c>
      <c r="W68" s="9">
        <f>W63/liquid_tariff_external</f>
        <v/>
      </c>
      <c r="X68" s="9">
        <f>X63/liquid_tariff_external</f>
        <v/>
      </c>
      <c r="Y68" s="9">
        <f>Y63/liquid_tariff_external</f>
        <v/>
      </c>
      <c r="Z68" s="9">
        <f>Z63/liquid_tariff_external</f>
        <v/>
      </c>
      <c r="AA68" s="9">
        <f>AA63/liquid_tariff_external</f>
        <v/>
      </c>
      <c r="AB68" s="9">
        <f>AB63/liquid_tariff_external</f>
        <v/>
      </c>
      <c r="AC68" s="9">
        <f>AC63/liquid_tariff_external</f>
        <v/>
      </c>
      <c r="AD68" s="9">
        <f>AD63/liquid_tariff_external</f>
        <v/>
      </c>
      <c r="AE68" s="9">
        <f>AE63/liquid_tariff_external</f>
        <v/>
      </c>
      <c r="AF68" s="9">
        <f>AF63/liquid_tariff_external</f>
        <v/>
      </c>
    </row>
    <row r="69">
      <c r="A69" s="3" t="inlineStr">
        <is>
          <t>ДВУХСТАВОЧНЫЙ ТАРИФ: ГЕКТАР + ТОННА</t>
        </is>
      </c>
      <c r="B69" s="2" t="inlineStr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</row>
    <row r="70">
      <c r="A70" t="inlineStr">
        <is>
          <t>Постоянные затраты на минуту лётного времени</t>
        </is>
      </c>
      <c r="B70" t="inlineStr">
        <is>
          <t>сум/мин</t>
        </is>
      </c>
      <c r="C70" s="10">
        <f>(C51+C53+C54)/(C16*60)</f>
        <v/>
      </c>
      <c r="D70" s="10">
        <f>(D51+D53+D54)/(D16*60)</f>
        <v/>
      </c>
      <c r="E70" s="10">
        <f>(E51+E53+E54)/(E16*60)</f>
        <v/>
      </c>
      <c r="F70" s="10">
        <f>(F51+F53+F54)/(F16*60)</f>
        <v/>
      </c>
      <c r="G70" s="10">
        <f>(G51+G53+G54)/(G16*60)</f>
        <v/>
      </c>
      <c r="H70" s="10">
        <f>(H51+H53+H54)/(H16*60)</f>
        <v/>
      </c>
      <c r="I70" s="10">
        <f>(I51+I53+I54)/(I16*60)</f>
        <v/>
      </c>
      <c r="J70" s="10">
        <f>(J51+J53+J54)/(J16*60)</f>
        <v/>
      </c>
      <c r="K70" s="10">
        <f>(K51+K53+K54)/(K16*60)</f>
        <v/>
      </c>
      <c r="L70" s="10">
        <f>(L51+L53+L54)/(L16*60)</f>
        <v/>
      </c>
      <c r="M70" s="10">
        <f>(M51+M53+M54)/(M16*60)</f>
        <v/>
      </c>
      <c r="N70" s="10">
        <f>(N51+N53+N54)/(N16*60)</f>
        <v/>
      </c>
      <c r="O70" s="10">
        <f>(O51+O53+O54)/(O16*60)</f>
        <v/>
      </c>
      <c r="P70" s="10">
        <f>(P51+P53+P54)/(P16*60)</f>
        <v/>
      </c>
      <c r="Q70" s="10">
        <f>(Q51+Q53+Q54)/(Q16*60)</f>
        <v/>
      </c>
      <c r="R70" s="10">
        <f>(R51+R53+R54)/(R16*60)</f>
        <v/>
      </c>
      <c r="S70" s="10">
        <f>(S51+S53+S54)/(S16*60)</f>
        <v/>
      </c>
      <c r="T70" s="10">
        <f>(T51+T53+T54)/(T16*60)</f>
        <v/>
      </c>
      <c r="U70" s="10">
        <f>(U51+U53+U54)/(U16*60)</f>
        <v/>
      </c>
      <c r="V70" s="10">
        <f>(V51+V53+V54)/(V16*60)</f>
        <v/>
      </c>
      <c r="W70" s="10">
        <f>(W51+W53+W54)/(W16*60)</f>
        <v/>
      </c>
      <c r="X70" s="10">
        <f>(X51+X53+X54)/(X16*60)</f>
        <v/>
      </c>
      <c r="Y70" s="10">
        <f>(Y51+Y53+Y54)/(Y16*60)</f>
        <v/>
      </c>
      <c r="Z70" s="10">
        <f>(Z51+Z53+Z54)/(Z16*60)</f>
        <v/>
      </c>
      <c r="AA70" s="10">
        <f>(AA51+AA53+AA54)/(AA16*60)</f>
        <v/>
      </c>
      <c r="AB70" s="10">
        <f>(AB51+AB53+AB54)/(AB16*60)</f>
        <v/>
      </c>
      <c r="AC70" s="10">
        <f>(AC51+AC53+AC54)/(AC16*60)</f>
        <v/>
      </c>
      <c r="AD70" s="10">
        <f>(AD51+AD53+AD54)/(AD16*60)</f>
        <v/>
      </c>
      <c r="AE70" s="10">
        <f>(AE51+AE53+AE54)/(AE16*60)</f>
        <v/>
      </c>
      <c r="AF70" s="10">
        <f>(AF51+AF53+AF54)/(AF16*60)</f>
        <v/>
      </c>
    </row>
    <row r="71">
      <c r="A71" t="inlineStr">
        <is>
          <t>Батарея, бензин, износ на минуту полёта</t>
        </is>
      </c>
      <c r="B71" t="inlineStr">
        <is>
          <t>сум/мин</t>
        </is>
      </c>
      <c r="C71" s="10">
        <f>(C19*usd_rate/C22+battery_kwh/charge_eff*gen_l_per_kwh*C21)/cycle_equiv_min+drone_wear_usd_h*usd_rate/60*(1+fert_wear_premium)</f>
        <v/>
      </c>
      <c r="D71" s="10">
        <f>(D19*usd_rate/D22+battery_kwh/charge_eff*gen_l_per_kwh*D21)/cycle_equiv_min+drone_wear_usd_h*usd_rate/60*(1+fert_wear_premium)</f>
        <v/>
      </c>
      <c r="E71" s="10">
        <f>(E19*usd_rate/E22+battery_kwh/charge_eff*gen_l_per_kwh*E21)/cycle_equiv_min+drone_wear_usd_h*usd_rate/60*(1+fert_wear_premium)</f>
        <v/>
      </c>
      <c r="F71" s="10">
        <f>(F19*usd_rate/F22+battery_kwh/charge_eff*gen_l_per_kwh*F21)/cycle_equiv_min+drone_wear_usd_h*usd_rate/60*(1+fert_wear_premium)</f>
        <v/>
      </c>
      <c r="G71" s="10">
        <f>(G19*usd_rate/G22+battery_kwh/charge_eff*gen_l_per_kwh*G21)/cycle_equiv_min+drone_wear_usd_h*usd_rate/60*(1+fert_wear_premium)</f>
        <v/>
      </c>
      <c r="H71" s="10">
        <f>(H19*usd_rate/H22+battery_kwh/charge_eff*gen_l_per_kwh*H21)/cycle_equiv_min+drone_wear_usd_h*usd_rate/60*(1+fert_wear_premium)</f>
        <v/>
      </c>
      <c r="I71" s="10">
        <f>(I19*usd_rate/I22+battery_kwh/charge_eff*gen_l_per_kwh*I21)/cycle_equiv_min+drone_wear_usd_h*usd_rate/60*(1+fert_wear_premium)</f>
        <v/>
      </c>
      <c r="J71" s="10">
        <f>(J19*usd_rate/J22+battery_kwh/charge_eff*gen_l_per_kwh*J21)/cycle_equiv_min+drone_wear_usd_h*usd_rate/60*(1+fert_wear_premium)</f>
        <v/>
      </c>
      <c r="K71" s="10">
        <f>(K19*usd_rate/K22+battery_kwh/charge_eff*gen_l_per_kwh*K21)/cycle_equiv_min+drone_wear_usd_h*usd_rate/60*(1+fert_wear_premium)</f>
        <v/>
      </c>
      <c r="L71" s="10">
        <f>(L19*usd_rate/L22+battery_kwh/charge_eff*gen_l_per_kwh*L21)/cycle_equiv_min+drone_wear_usd_h*usd_rate/60*(1+fert_wear_premium)</f>
        <v/>
      </c>
      <c r="M71" s="10">
        <f>(M19*usd_rate/M22+battery_kwh/charge_eff*gen_l_per_kwh*M21)/cycle_equiv_min+drone_wear_usd_h*usd_rate/60*(1+fert_wear_premium)</f>
        <v/>
      </c>
      <c r="N71" s="10">
        <f>(N19*usd_rate/N22+battery_kwh/charge_eff*gen_l_per_kwh*N21)/cycle_equiv_min+drone_wear_usd_h*usd_rate/60*(1+fert_wear_premium)</f>
        <v/>
      </c>
      <c r="O71" s="10">
        <f>(O19*usd_rate/O22+battery_kwh/charge_eff*gen_l_per_kwh*O21)/cycle_equiv_min+drone_wear_usd_h*usd_rate/60*(1+fert_wear_premium)</f>
        <v/>
      </c>
      <c r="P71" s="10">
        <f>(P19*usd_rate/P22+battery_kwh/charge_eff*gen_l_per_kwh*P21)/cycle_equiv_min+drone_wear_usd_h*usd_rate/60*(1+fert_wear_premium)</f>
        <v/>
      </c>
      <c r="Q71" s="10">
        <f>(Q19*usd_rate/Q22+battery_kwh/charge_eff*gen_l_per_kwh*Q21)/cycle_equiv_min+drone_wear_usd_h*usd_rate/60*(1+fert_wear_premium)</f>
        <v/>
      </c>
      <c r="R71" s="10">
        <f>(R19*usd_rate/R22+battery_kwh/charge_eff*gen_l_per_kwh*R21)/cycle_equiv_min+drone_wear_usd_h*usd_rate/60*(1+fert_wear_premium)</f>
        <v/>
      </c>
      <c r="S71" s="10">
        <f>(S19*usd_rate/S22+battery_kwh/charge_eff*gen_l_per_kwh*S21)/cycle_equiv_min+drone_wear_usd_h*usd_rate/60*(1+fert_wear_premium)</f>
        <v/>
      </c>
      <c r="T71" s="10">
        <f>(T19*usd_rate/T22+battery_kwh/charge_eff*gen_l_per_kwh*T21)/cycle_equiv_min+drone_wear_usd_h*usd_rate/60*(1+fert_wear_premium)</f>
        <v/>
      </c>
      <c r="U71" s="10">
        <f>(U19*usd_rate/U22+battery_kwh/charge_eff*gen_l_per_kwh*U21)/cycle_equiv_min+drone_wear_usd_h*usd_rate/60*(1+fert_wear_premium)</f>
        <v/>
      </c>
      <c r="V71" s="10">
        <f>(V19*usd_rate/V22+battery_kwh/charge_eff*gen_l_per_kwh*V21)/cycle_equiv_min+drone_wear_usd_h*usd_rate/60*(1+fert_wear_premium)</f>
        <v/>
      </c>
      <c r="W71" s="10">
        <f>(W19*usd_rate/W22+battery_kwh/charge_eff*gen_l_per_kwh*W21)/cycle_equiv_min+drone_wear_usd_h*usd_rate/60*(1+fert_wear_premium)</f>
        <v/>
      </c>
      <c r="X71" s="10">
        <f>(X19*usd_rate/X22+battery_kwh/charge_eff*gen_l_per_kwh*X21)/cycle_equiv_min+drone_wear_usd_h*usd_rate/60*(1+fert_wear_premium)</f>
        <v/>
      </c>
      <c r="Y71" s="10">
        <f>(Y19*usd_rate/Y22+battery_kwh/charge_eff*gen_l_per_kwh*Y21)/cycle_equiv_min+drone_wear_usd_h*usd_rate/60*(1+fert_wear_premium)</f>
        <v/>
      </c>
      <c r="Z71" s="10">
        <f>(Z19*usd_rate/Z22+battery_kwh/charge_eff*gen_l_per_kwh*Z21)/cycle_equiv_min+drone_wear_usd_h*usd_rate/60*(1+fert_wear_premium)</f>
        <v/>
      </c>
      <c r="AA71" s="10">
        <f>(AA19*usd_rate/AA22+battery_kwh/charge_eff*gen_l_per_kwh*AA21)/cycle_equiv_min+drone_wear_usd_h*usd_rate/60*(1+fert_wear_premium)</f>
        <v/>
      </c>
      <c r="AB71" s="10">
        <f>(AB19*usd_rate/AB22+battery_kwh/charge_eff*gen_l_per_kwh*AB21)/cycle_equiv_min+drone_wear_usd_h*usd_rate/60*(1+fert_wear_premium)</f>
        <v/>
      </c>
      <c r="AC71" s="10">
        <f>(AC19*usd_rate/AC22+battery_kwh/charge_eff*gen_l_per_kwh*AC21)/cycle_equiv_min+drone_wear_usd_h*usd_rate/60*(1+fert_wear_premium)</f>
        <v/>
      </c>
      <c r="AD71" s="10">
        <f>(AD19*usd_rate/AD22+battery_kwh/charge_eff*gen_l_per_kwh*AD21)/cycle_equiv_min+drone_wear_usd_h*usd_rate/60*(1+fert_wear_premium)</f>
        <v/>
      </c>
      <c r="AE71" s="10">
        <f>(AE19*usd_rate/AE22+battery_kwh/charge_eff*gen_l_per_kwh*AE21)/cycle_equiv_min+drone_wear_usd_h*usd_rate/60*(1+fert_wear_premium)</f>
        <v/>
      </c>
      <c r="AF71" s="10">
        <f>(AF19*usd_rate/AF22+battery_kwh/charge_eff*gen_l_per_kwh*AF21)/cycle_equiv_min+drone_wear_usd_h*usd_rate/60*(1+fert_wear_premium)</f>
        <v/>
      </c>
    </row>
    <row r="72">
      <c r="A72" t="inlineStr">
        <is>
          <t>Себестоимость: постоянная часть на гектар (C0)</t>
        </is>
      </c>
      <c r="B72" t="inlineStr">
        <is>
          <t>сум/га</t>
        </is>
      </c>
      <c r="C72" s="10">
        <f>C28*(C70+C71)</f>
        <v/>
      </c>
      <c r="D72" s="10">
        <f>D28*(D70+D71)</f>
        <v/>
      </c>
      <c r="E72" s="10">
        <f>E28*(E70+E71)</f>
        <v/>
      </c>
      <c r="F72" s="10">
        <f>F28*(F70+F71)</f>
        <v/>
      </c>
      <c r="G72" s="10">
        <f>G28*(G70+G71)</f>
        <v/>
      </c>
      <c r="H72" s="10">
        <f>H28*(H70+H71)</f>
        <v/>
      </c>
      <c r="I72" s="10">
        <f>I28*(I70+I71)</f>
        <v/>
      </c>
      <c r="J72" s="10">
        <f>J28*(J70+J71)</f>
        <v/>
      </c>
      <c r="K72" s="10">
        <f>K28*(K70+K71)</f>
        <v/>
      </c>
      <c r="L72" s="10">
        <f>L28*(L70+L71)</f>
        <v/>
      </c>
      <c r="M72" s="10">
        <f>M28*(M70+M71)</f>
        <v/>
      </c>
      <c r="N72" s="10">
        <f>N28*(N70+N71)</f>
        <v/>
      </c>
      <c r="O72" s="10">
        <f>O28*(O70+O71)</f>
        <v/>
      </c>
      <c r="P72" s="10">
        <f>P28*(P70+P71)</f>
        <v/>
      </c>
      <c r="Q72" s="10">
        <f>Q28*(Q70+Q71)</f>
        <v/>
      </c>
      <c r="R72" s="10">
        <f>R28*(R70+R71)</f>
        <v/>
      </c>
      <c r="S72" s="10">
        <f>S28*(S70+S71)</f>
        <v/>
      </c>
      <c r="T72" s="10">
        <f>T28*(T70+T71)</f>
        <v/>
      </c>
      <c r="U72" s="10">
        <f>U28*(U70+U71)</f>
        <v/>
      </c>
      <c r="V72" s="10">
        <f>V28*(V70+V71)</f>
        <v/>
      </c>
      <c r="W72" s="10">
        <f>W28*(W70+W71)</f>
        <v/>
      </c>
      <c r="X72" s="10">
        <f>X28*(X70+X71)</f>
        <v/>
      </c>
      <c r="Y72" s="10">
        <f>Y28*(Y70+Y71)</f>
        <v/>
      </c>
      <c r="Z72" s="10">
        <f>Z28*(Z70+Z71)</f>
        <v/>
      </c>
      <c r="AA72" s="10">
        <f>AA28*(AA70+AA71)</f>
        <v/>
      </c>
      <c r="AB72" s="10">
        <f>AB28*(AB70+AB71)</f>
        <v/>
      </c>
      <c r="AC72" s="10">
        <f>AC28*(AC70+AC71)</f>
        <v/>
      </c>
      <c r="AD72" s="10">
        <f>AD28*(AD70+AD71)</f>
        <v/>
      </c>
      <c r="AE72" s="10">
        <f>AE28*(AE70+AE71)</f>
        <v/>
      </c>
      <c r="AF72" s="10">
        <f>AF28*(AF70+AF71)</f>
        <v/>
      </c>
    </row>
    <row r="73">
      <c r="A73" t="inlineStr">
        <is>
          <t>Себестоимость: переменная часть на килограмм (c1)</t>
        </is>
      </c>
      <c r="B73" t="inlineStr">
        <is>
          <t>сум/кг</t>
        </is>
      </c>
      <c r="C73" s="10">
        <f>((C18+C17)*C70+C18*C71)/C15</f>
        <v/>
      </c>
      <c r="D73" s="10">
        <f>((D18+D17)*D70+D18*D71)/D15</f>
        <v/>
      </c>
      <c r="E73" s="10">
        <f>((E18+E17)*E70+E18*E71)/E15</f>
        <v/>
      </c>
      <c r="F73" s="10">
        <f>((F18+F17)*F70+F18*F71)/F15</f>
        <v/>
      </c>
      <c r="G73" s="10">
        <f>((G18+G17)*G70+G18*G71)/G15</f>
        <v/>
      </c>
      <c r="H73" s="10">
        <f>((H18+H17)*H70+H18*H71)/H15</f>
        <v/>
      </c>
      <c r="I73" s="10">
        <f>((I18+I17)*I70+I18*I71)/I15</f>
        <v/>
      </c>
      <c r="J73" s="10">
        <f>((J18+J17)*J70+J18*J71)/J15</f>
        <v/>
      </c>
      <c r="K73" s="10">
        <f>((K18+K17)*K70+K18*K71)/K15</f>
        <v/>
      </c>
      <c r="L73" s="10">
        <f>((L18+L17)*L70+L18*L71)/L15</f>
        <v/>
      </c>
      <c r="M73" s="10">
        <f>((M18+M17)*M70+M18*M71)/M15</f>
        <v/>
      </c>
      <c r="N73" s="10">
        <f>((N18+N17)*N70+N18*N71)/N15</f>
        <v/>
      </c>
      <c r="O73" s="10">
        <f>((O18+O17)*O70+O18*O71)/O15</f>
        <v/>
      </c>
      <c r="P73" s="10">
        <f>((P18+P17)*P70+P18*P71)/P15</f>
        <v/>
      </c>
      <c r="Q73" s="10">
        <f>((Q18+Q17)*Q70+Q18*Q71)/Q15</f>
        <v/>
      </c>
      <c r="R73" s="10">
        <f>((R18+R17)*R70+R18*R71)/R15</f>
        <v/>
      </c>
      <c r="S73" s="10">
        <f>((S18+S17)*S70+S18*S71)/S15</f>
        <v/>
      </c>
      <c r="T73" s="10">
        <f>((T18+T17)*T70+T18*T71)/T15</f>
        <v/>
      </c>
      <c r="U73" s="10">
        <f>((U18+U17)*U70+U18*U71)/U15</f>
        <v/>
      </c>
      <c r="V73" s="10">
        <f>((V18+V17)*V70+V18*V71)/V15</f>
        <v/>
      </c>
      <c r="W73" s="10">
        <f>((W18+W17)*W70+W18*W71)/W15</f>
        <v/>
      </c>
      <c r="X73" s="10">
        <f>((X18+X17)*X70+X18*X71)/X15</f>
        <v/>
      </c>
      <c r="Y73" s="10">
        <f>((Y18+Y17)*Y70+Y18*Y71)/Y15</f>
        <v/>
      </c>
      <c r="Z73" s="10">
        <f>((Z18+Z17)*Z70+Z18*Z71)/Z15</f>
        <v/>
      </c>
      <c r="AA73" s="10">
        <f>((AA18+AA17)*AA70+AA18*AA71)/AA15</f>
        <v/>
      </c>
      <c r="AB73" s="10">
        <f>((AB18+AB17)*AB70+AB18*AB71)/AB15</f>
        <v/>
      </c>
      <c r="AC73" s="10">
        <f>((AC18+AC17)*AC70+AC18*AC71)/AC15</f>
        <v/>
      </c>
      <c r="AD73" s="10">
        <f>((AD18+AD17)*AD70+AD18*AD71)/AD15</f>
        <v/>
      </c>
      <c r="AE73" s="10">
        <f>((AE18+AE17)*AE70+AE18*AE71)/AE15</f>
        <v/>
      </c>
      <c r="AF73" s="10">
        <f>((AF18+AF17)*AF70+AF18*AF71)/AF15</f>
        <v/>
      </c>
    </row>
    <row r="74">
      <c r="A74" t="inlineStr">
        <is>
          <t>Контроль: C0 + c1 x норма - прямая себестоимость (0, пока вылет ограничен весом бака, а не батареей)</t>
        </is>
      </c>
      <c r="B74" t="inlineStr">
        <is>
          <t>сум</t>
        </is>
      </c>
      <c r="C74" s="10">
        <f>C72+C73*C2-C61</f>
        <v/>
      </c>
      <c r="D74" s="10">
        <f>D72+D73*D2-D61</f>
        <v/>
      </c>
      <c r="E74" s="10">
        <f>E72+E73*E2-E61</f>
        <v/>
      </c>
      <c r="F74" s="10">
        <f>F72+F73*F2-F61</f>
        <v/>
      </c>
      <c r="G74" s="10">
        <f>G72+G73*G2-G61</f>
        <v/>
      </c>
      <c r="H74" s="10">
        <f>H72+H73*H2-H61</f>
        <v/>
      </c>
      <c r="I74" s="10">
        <f>I72+I73*I2-I61</f>
        <v/>
      </c>
      <c r="J74" s="10">
        <f>J72+J73*J2-J61</f>
        <v/>
      </c>
      <c r="K74" s="10">
        <f>K72+K73*K2-K61</f>
        <v/>
      </c>
      <c r="L74" s="10">
        <f>L72+L73*L2-L61</f>
        <v/>
      </c>
      <c r="M74" s="10">
        <f>M72+M73*M2-M61</f>
        <v/>
      </c>
      <c r="N74" s="10">
        <f>N72+N73*N2-N61</f>
        <v/>
      </c>
      <c r="O74" s="10">
        <f>O72+O73*O2-O61</f>
        <v/>
      </c>
      <c r="P74" s="10">
        <f>P72+P73*P2-P61</f>
        <v/>
      </c>
      <c r="Q74" s="10">
        <f>Q72+Q73*Q2-Q61</f>
        <v/>
      </c>
      <c r="R74" s="10">
        <f>R72+R73*R2-R61</f>
        <v/>
      </c>
      <c r="S74" s="10">
        <f>S72+S73*S2-S61</f>
        <v/>
      </c>
      <c r="T74" s="10">
        <f>T72+T73*T2-T61</f>
        <v/>
      </c>
      <c r="U74" s="10">
        <f>U72+U73*U2-U61</f>
        <v/>
      </c>
      <c r="V74" s="10">
        <f>V72+V73*V2-V61</f>
        <v/>
      </c>
      <c r="W74" s="10">
        <f>W72+W73*W2-W61</f>
        <v/>
      </c>
      <c r="X74" s="10">
        <f>X72+X73*X2-X61</f>
        <v/>
      </c>
      <c r="Y74" s="10">
        <f>Y72+Y73*Y2-Y61</f>
        <v/>
      </c>
      <c r="Z74" s="10">
        <f>Z72+Z73*Z2-Z61</f>
        <v/>
      </c>
      <c r="AA74" s="10">
        <f>AA72+AA73*AA2-AA61</f>
        <v/>
      </c>
      <c r="AB74" s="10">
        <f>AB72+AB73*AB2-AB61</f>
        <v/>
      </c>
      <c r="AC74" s="10">
        <f>AC72+AC73*AC2-AC61</f>
        <v/>
      </c>
      <c r="AD74" s="10">
        <f>AD72+AD73*AD2-AD61</f>
        <v/>
      </c>
      <c r="AE74" s="10">
        <f>AE72+AE73*AE2-AE61</f>
        <v/>
      </c>
      <c r="AF74" s="10">
        <f>AF72+AF73*AF2-AF61</f>
        <v/>
      </c>
    </row>
    <row r="75">
      <c r="A75" s="1" t="inlineStr">
        <is>
          <t>ТАРИФ: ставка за гектар</t>
        </is>
      </c>
      <c r="B75" t="inlineStr">
        <is>
          <t>сум/га</t>
        </is>
      </c>
      <c r="C75" s="12">
        <f>C72/(1-overhead_pct-target_margin_pct)</f>
        <v/>
      </c>
      <c r="D75" s="12">
        <f>D72/(1-overhead_pct-target_margin_pct)</f>
        <v/>
      </c>
      <c r="E75" s="12">
        <f>E72/(1-overhead_pct-target_margin_pct)</f>
        <v/>
      </c>
      <c r="F75" s="12">
        <f>F72/(1-overhead_pct-target_margin_pct)</f>
        <v/>
      </c>
      <c r="G75" s="12">
        <f>G72/(1-overhead_pct-target_margin_pct)</f>
        <v/>
      </c>
      <c r="H75" s="12">
        <f>H72/(1-overhead_pct-target_margin_pct)</f>
        <v/>
      </c>
      <c r="I75" s="12">
        <f>I72/(1-overhead_pct-target_margin_pct)</f>
        <v/>
      </c>
      <c r="J75" s="12">
        <f>J72/(1-overhead_pct-target_margin_pct)</f>
        <v/>
      </c>
      <c r="K75" s="12">
        <f>K72/(1-overhead_pct-target_margin_pct)</f>
        <v/>
      </c>
      <c r="L75" s="12">
        <f>L72/(1-overhead_pct-target_margin_pct)</f>
        <v/>
      </c>
      <c r="M75" s="12">
        <f>M72/(1-overhead_pct-target_margin_pct)</f>
        <v/>
      </c>
      <c r="N75" s="12">
        <f>N72/(1-overhead_pct-target_margin_pct)</f>
        <v/>
      </c>
      <c r="O75" s="12">
        <f>O72/(1-overhead_pct-target_margin_pct)</f>
        <v/>
      </c>
      <c r="P75" s="12">
        <f>P72/(1-overhead_pct-target_margin_pct)</f>
        <v/>
      </c>
      <c r="Q75" s="12">
        <f>Q72/(1-overhead_pct-target_margin_pct)</f>
        <v/>
      </c>
      <c r="R75" s="12">
        <f>R72/(1-overhead_pct-target_margin_pct)</f>
        <v/>
      </c>
      <c r="S75" s="12">
        <f>S72/(1-overhead_pct-target_margin_pct)</f>
        <v/>
      </c>
      <c r="T75" s="12">
        <f>T72/(1-overhead_pct-target_margin_pct)</f>
        <v/>
      </c>
      <c r="U75" s="12">
        <f>U72/(1-overhead_pct-target_margin_pct)</f>
        <v/>
      </c>
      <c r="V75" s="12">
        <f>V72/(1-overhead_pct-target_margin_pct)</f>
        <v/>
      </c>
      <c r="W75" s="12">
        <f>W72/(1-overhead_pct-target_margin_pct)</f>
        <v/>
      </c>
      <c r="X75" s="12">
        <f>X72/(1-overhead_pct-target_margin_pct)</f>
        <v/>
      </c>
      <c r="Y75" s="12">
        <f>Y72/(1-overhead_pct-target_margin_pct)</f>
        <v/>
      </c>
      <c r="Z75" s="12">
        <f>Z72/(1-overhead_pct-target_margin_pct)</f>
        <v/>
      </c>
      <c r="AA75" s="12">
        <f>AA72/(1-overhead_pct-target_margin_pct)</f>
        <v/>
      </c>
      <c r="AB75" s="12">
        <f>AB72/(1-overhead_pct-target_margin_pct)</f>
        <v/>
      </c>
      <c r="AC75" s="12">
        <f>AC72/(1-overhead_pct-target_margin_pct)</f>
        <v/>
      </c>
      <c r="AD75" s="12">
        <f>AD72/(1-overhead_pct-target_margin_pct)</f>
        <v/>
      </c>
      <c r="AE75" s="12">
        <f>AE72/(1-overhead_pct-target_margin_pct)</f>
        <v/>
      </c>
      <c r="AF75" s="12">
        <f>AF72/(1-overhead_pct-target_margin_pct)</f>
        <v/>
      </c>
    </row>
    <row r="76">
      <c r="A76" t="inlineStr">
        <is>
          <t>ТАРИФ: ставка за килограмм удобрения</t>
        </is>
      </c>
      <c r="B76" t="inlineStr">
        <is>
          <t>сум/кг</t>
        </is>
      </c>
      <c r="C76" s="10">
        <f>C73/(1-overhead_pct-target_margin_pct)</f>
        <v/>
      </c>
      <c r="D76" s="10">
        <f>D73/(1-overhead_pct-target_margin_pct)</f>
        <v/>
      </c>
      <c r="E76" s="10">
        <f>E73/(1-overhead_pct-target_margin_pct)</f>
        <v/>
      </c>
      <c r="F76" s="10">
        <f>F73/(1-overhead_pct-target_margin_pct)</f>
        <v/>
      </c>
      <c r="G76" s="10">
        <f>G73/(1-overhead_pct-target_margin_pct)</f>
        <v/>
      </c>
      <c r="H76" s="10">
        <f>H73/(1-overhead_pct-target_margin_pct)</f>
        <v/>
      </c>
      <c r="I76" s="10">
        <f>I73/(1-overhead_pct-target_margin_pct)</f>
        <v/>
      </c>
      <c r="J76" s="10">
        <f>J73/(1-overhead_pct-target_margin_pct)</f>
        <v/>
      </c>
      <c r="K76" s="10">
        <f>K73/(1-overhead_pct-target_margin_pct)</f>
        <v/>
      </c>
      <c r="L76" s="10">
        <f>L73/(1-overhead_pct-target_margin_pct)</f>
        <v/>
      </c>
      <c r="M76" s="10">
        <f>M73/(1-overhead_pct-target_margin_pct)</f>
        <v/>
      </c>
      <c r="N76" s="10">
        <f>N73/(1-overhead_pct-target_margin_pct)</f>
        <v/>
      </c>
      <c r="O76" s="10">
        <f>O73/(1-overhead_pct-target_margin_pct)</f>
        <v/>
      </c>
      <c r="P76" s="10">
        <f>P73/(1-overhead_pct-target_margin_pct)</f>
        <v/>
      </c>
      <c r="Q76" s="10">
        <f>Q73/(1-overhead_pct-target_margin_pct)</f>
        <v/>
      </c>
      <c r="R76" s="10">
        <f>R73/(1-overhead_pct-target_margin_pct)</f>
        <v/>
      </c>
      <c r="S76" s="10">
        <f>S73/(1-overhead_pct-target_margin_pct)</f>
        <v/>
      </c>
      <c r="T76" s="10">
        <f>T73/(1-overhead_pct-target_margin_pct)</f>
        <v/>
      </c>
      <c r="U76" s="10">
        <f>U73/(1-overhead_pct-target_margin_pct)</f>
        <v/>
      </c>
      <c r="V76" s="10">
        <f>V73/(1-overhead_pct-target_margin_pct)</f>
        <v/>
      </c>
      <c r="W76" s="10">
        <f>W73/(1-overhead_pct-target_margin_pct)</f>
        <v/>
      </c>
      <c r="X76" s="10">
        <f>X73/(1-overhead_pct-target_margin_pct)</f>
        <v/>
      </c>
      <c r="Y76" s="10">
        <f>Y73/(1-overhead_pct-target_margin_pct)</f>
        <v/>
      </c>
      <c r="Z76" s="10">
        <f>Z73/(1-overhead_pct-target_margin_pct)</f>
        <v/>
      </c>
      <c r="AA76" s="10">
        <f>AA73/(1-overhead_pct-target_margin_pct)</f>
        <v/>
      </c>
      <c r="AB76" s="10">
        <f>AB73/(1-overhead_pct-target_margin_pct)</f>
        <v/>
      </c>
      <c r="AC76" s="10">
        <f>AC73/(1-overhead_pct-target_margin_pct)</f>
        <v/>
      </c>
      <c r="AD76" s="10">
        <f>AD73/(1-overhead_pct-target_margin_pct)</f>
        <v/>
      </c>
      <c r="AE76" s="10">
        <f>AE73/(1-overhead_pct-target_margin_pct)</f>
        <v/>
      </c>
      <c r="AF76" s="10">
        <f>AF73/(1-overhead_pct-target_margin_pct)</f>
        <v/>
      </c>
    </row>
    <row r="77">
      <c r="A77" s="1" t="inlineStr">
        <is>
          <t>ТАРИФ: ставка за тонну удобрения</t>
        </is>
      </c>
      <c r="B77" t="inlineStr">
        <is>
          <t>сум/т</t>
        </is>
      </c>
      <c r="C77" s="12">
        <f>C76*1000</f>
        <v/>
      </c>
      <c r="D77" s="12">
        <f>D76*1000</f>
        <v/>
      </c>
      <c r="E77" s="12">
        <f>E76*1000</f>
        <v/>
      </c>
      <c r="F77" s="12">
        <f>F76*1000</f>
        <v/>
      </c>
      <c r="G77" s="12">
        <f>G76*1000</f>
        <v/>
      </c>
      <c r="H77" s="12">
        <f>H76*1000</f>
        <v/>
      </c>
      <c r="I77" s="12">
        <f>I76*1000</f>
        <v/>
      </c>
      <c r="J77" s="12">
        <f>J76*1000</f>
        <v/>
      </c>
      <c r="K77" s="12">
        <f>K76*1000</f>
        <v/>
      </c>
      <c r="L77" s="12">
        <f>L76*1000</f>
        <v/>
      </c>
      <c r="M77" s="12">
        <f>M76*1000</f>
        <v/>
      </c>
      <c r="N77" s="12">
        <f>N76*1000</f>
        <v/>
      </c>
      <c r="O77" s="12">
        <f>O76*1000</f>
        <v/>
      </c>
      <c r="P77" s="12">
        <f>P76*1000</f>
        <v/>
      </c>
      <c r="Q77" s="12">
        <f>Q76*1000</f>
        <v/>
      </c>
      <c r="R77" s="12">
        <f>R76*1000</f>
        <v/>
      </c>
      <c r="S77" s="12">
        <f>S76*1000</f>
        <v/>
      </c>
      <c r="T77" s="12">
        <f>T76*1000</f>
        <v/>
      </c>
      <c r="U77" s="12">
        <f>U76*1000</f>
        <v/>
      </c>
      <c r="V77" s="12">
        <f>V76*1000</f>
        <v/>
      </c>
      <c r="W77" s="12">
        <f>W76*1000</f>
        <v/>
      </c>
      <c r="X77" s="12">
        <f>X76*1000</f>
        <v/>
      </c>
      <c r="Y77" s="12">
        <f>Y76*1000</f>
        <v/>
      </c>
      <c r="Z77" s="12">
        <f>Z76*1000</f>
        <v/>
      </c>
      <c r="AA77" s="12">
        <f>AA76*1000</f>
        <v/>
      </c>
      <c r="AB77" s="12">
        <f>AB76*1000</f>
        <v/>
      </c>
      <c r="AC77" s="12">
        <f>AC76*1000</f>
        <v/>
      </c>
      <c r="AD77" s="12">
        <f>AD76*1000</f>
        <v/>
      </c>
      <c r="AE77" s="12">
        <f>AE76*1000</f>
        <v/>
      </c>
      <c r="AF77" s="12">
        <f>AF76*1000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12" customWidth="1" min="5" max="5"/>
    <col width="14" customWidth="1" min="6" max="6"/>
  </cols>
  <sheetData>
    <row r="1">
      <c r="A1" s="1" t="inlineStr">
        <is>
          <t>Параметр (сценарий 250 кг/га)</t>
        </is>
      </c>
      <c r="B1" s="1" t="inlineStr">
        <is>
          <t>Множитель</t>
        </is>
      </c>
      <c r="C1" s="1" t="inlineStr">
        <is>
          <t>Целевой тариф, сум/га</t>
        </is>
      </c>
      <c r="D1" s="1" t="inlineStr">
        <is>
          <t>Отклонение от базы, %</t>
        </is>
      </c>
      <c r="E1" s="1" t="inlineStr">
        <is>
          <t>Га за день</t>
        </is>
      </c>
      <c r="F1" s="1" t="inlineStr">
        <is>
          <t>Отклонение, %</t>
        </is>
      </c>
    </row>
    <row r="2">
      <c r="A2" t="inlineStr">
        <is>
          <t>База 250 кг/га</t>
        </is>
      </c>
      <c r="B2" t="n">
        <v>1</v>
      </c>
      <c r="C2">
        <f>'Расчёт'!F63</f>
        <v/>
      </c>
      <c r="D2" t="n">
        <v>0</v>
      </c>
      <c r="E2">
        <f>'Расчёт'!F38</f>
        <v/>
      </c>
      <c r="F2" t="n">
        <v>0</v>
      </c>
    </row>
    <row r="3">
      <c r="A3" t="inlineStr">
        <is>
          <t>эффективные часы</t>
        </is>
      </c>
      <c r="B3" s="9" t="n">
        <v>0.8</v>
      </c>
      <c r="C3" s="10">
        <f>'Расчёт'!O63</f>
        <v/>
      </c>
      <c r="D3" s="13">
        <f>C3/$C$2-1</f>
        <v/>
      </c>
      <c r="E3" s="9">
        <f>'Расчёт'!O38</f>
        <v/>
      </c>
      <c r="F3" s="13">
        <f>E3/$E$2-1</f>
        <v/>
      </c>
    </row>
    <row r="4">
      <c r="A4" t="inlineStr">
        <is>
          <t>эффективные часы</t>
        </is>
      </c>
      <c r="B4" s="9" t="n">
        <v>1.2</v>
      </c>
      <c r="C4" s="10">
        <f>'Расчёт'!P63</f>
        <v/>
      </c>
      <c r="D4" s="13">
        <f>C4/$C$2-1</f>
        <v/>
      </c>
      <c r="E4" s="9">
        <f>'Расчёт'!P38</f>
        <v/>
      </c>
      <c r="F4" s="13">
        <f>E4/$E$2-1</f>
        <v/>
      </c>
    </row>
    <row r="5">
      <c r="A5" t="inlineStr">
        <is>
          <t>время загрузки</t>
        </is>
      </c>
      <c r="B5" s="9" t="n">
        <v>0.8</v>
      </c>
      <c r="C5" s="10">
        <f>'Расчёт'!Q63</f>
        <v/>
      </c>
      <c r="D5" s="13">
        <f>C5/$C$2-1</f>
        <v/>
      </c>
      <c r="E5" s="9">
        <f>'Расчёт'!Q38</f>
        <v/>
      </c>
      <c r="F5" s="13">
        <f>E5/$E$2-1</f>
        <v/>
      </c>
    </row>
    <row r="6">
      <c r="A6" t="inlineStr">
        <is>
          <t>время загрузки</t>
        </is>
      </c>
      <c r="B6" s="9" t="n">
        <v>1.2</v>
      </c>
      <c r="C6" s="10">
        <f>'Расчёт'!R63</f>
        <v/>
      </c>
      <c r="D6" s="13">
        <f>C6/$C$2-1</f>
        <v/>
      </c>
      <c r="E6" s="9">
        <f>'Расчёт'!R38</f>
        <v/>
      </c>
      <c r="F6" s="13">
        <f>E6/$E$2-1</f>
        <v/>
      </c>
    </row>
    <row r="7">
      <c r="A7" t="inlineStr">
        <is>
          <t>накладное время вылета</t>
        </is>
      </c>
      <c r="B7" s="9" t="n">
        <v>0.8</v>
      </c>
      <c r="C7" s="10">
        <f>'Расчёт'!S63</f>
        <v/>
      </c>
      <c r="D7" s="13">
        <f>C7/$C$2-1</f>
        <v/>
      </c>
      <c r="E7" s="9">
        <f>'Расчёт'!S38</f>
        <v/>
      </c>
      <c r="F7" s="13">
        <f>E7/$E$2-1</f>
        <v/>
      </c>
    </row>
    <row r="8">
      <c r="A8" t="inlineStr">
        <is>
          <t>накладное время вылета</t>
        </is>
      </c>
      <c r="B8" s="9" t="n">
        <v>1.2</v>
      </c>
      <c r="C8" s="10">
        <f>'Расчёт'!T63</f>
        <v/>
      </c>
      <c r="D8" s="13">
        <f>C8/$C$2-1</f>
        <v/>
      </c>
      <c r="E8" s="9">
        <f>'Расчёт'!T38</f>
        <v/>
      </c>
      <c r="F8" s="13">
        <f>E8/$E$2-1</f>
        <v/>
      </c>
    </row>
    <row r="9">
      <c r="A9" t="inlineStr">
        <is>
          <t>полезная нагрузка</t>
        </is>
      </c>
      <c r="B9" s="9" t="n">
        <v>0.9</v>
      </c>
      <c r="C9" s="10">
        <f>'Расчёт'!U63</f>
        <v/>
      </c>
      <c r="D9" s="13">
        <f>C9/$C$2-1</f>
        <v/>
      </c>
      <c r="E9" s="9">
        <f>'Расчёт'!U38</f>
        <v/>
      </c>
      <c r="F9" s="13">
        <f>E9/$E$2-1</f>
        <v/>
      </c>
    </row>
    <row r="10">
      <c r="A10" t="inlineStr">
        <is>
          <t>полезная нагрузка</t>
        </is>
      </c>
      <c r="B10" s="9" t="n">
        <v>1.1</v>
      </c>
      <c r="C10" s="10">
        <f>'Расчёт'!V63</f>
        <v/>
      </c>
      <c r="D10" s="13">
        <f>C10/$C$2-1</f>
        <v/>
      </c>
      <c r="E10" s="9">
        <f>'Расчёт'!V38</f>
        <v/>
      </c>
      <c r="F10" s="13">
        <f>E10/$E$2-1</f>
        <v/>
      </c>
    </row>
    <row r="11">
      <c r="A11" t="inlineStr">
        <is>
          <t>цена батареи</t>
        </is>
      </c>
      <c r="B11" s="9" t="n">
        <v>0.8</v>
      </c>
      <c r="C11" s="10">
        <f>'Расчёт'!W63</f>
        <v/>
      </c>
      <c r="D11" s="13">
        <f>C11/$C$2-1</f>
        <v/>
      </c>
      <c r="E11" s="9">
        <f>'Расчёт'!W38</f>
        <v/>
      </c>
      <c r="F11" s="13">
        <f>E11/$E$2-1</f>
        <v/>
      </c>
    </row>
    <row r="12">
      <c r="A12" t="inlineStr">
        <is>
          <t>цена батареи</t>
        </is>
      </c>
      <c r="B12" s="9" t="n">
        <v>1.2</v>
      </c>
      <c r="C12" s="10">
        <f>'Расчёт'!X63</f>
        <v/>
      </c>
      <c r="D12" s="13">
        <f>C12/$C$2-1</f>
        <v/>
      </c>
      <c r="E12" s="9">
        <f>'Расчёт'!X38</f>
        <v/>
      </c>
      <c r="F12" s="13">
        <f>E12/$E$2-1</f>
        <v/>
      </c>
    </row>
    <row r="13">
      <c r="A13" t="inlineStr">
        <is>
          <t>оплата пилота</t>
        </is>
      </c>
      <c r="B13" s="9" t="n">
        <v>0.8</v>
      </c>
      <c r="C13" s="10">
        <f>'Расчёт'!Y63</f>
        <v/>
      </c>
      <c r="D13" s="13">
        <f>C13/$C$2-1</f>
        <v/>
      </c>
      <c r="E13" s="9">
        <f>'Расчёт'!Y38</f>
        <v/>
      </c>
      <c r="F13" s="13">
        <f>E13/$E$2-1</f>
        <v/>
      </c>
    </row>
    <row r="14">
      <c r="A14" t="inlineStr">
        <is>
          <t>оплата пилота</t>
        </is>
      </c>
      <c r="B14" s="9" t="n">
        <v>1.2</v>
      </c>
      <c r="C14" s="10">
        <f>'Расчёт'!Z63</f>
        <v/>
      </c>
      <c r="D14" s="13">
        <f>C14/$C$2-1</f>
        <v/>
      </c>
      <c r="E14" s="9">
        <f>'Расчёт'!Z38</f>
        <v/>
      </c>
      <c r="F14" s="13">
        <f>E14/$E$2-1</f>
        <v/>
      </c>
    </row>
    <row r="15">
      <c r="A15" t="inlineStr">
        <is>
          <t>цена бензина</t>
        </is>
      </c>
      <c r="B15" s="9" t="n">
        <v>0.8</v>
      </c>
      <c r="C15" s="10">
        <f>'Расчёт'!AA63</f>
        <v/>
      </c>
      <c r="D15" s="13">
        <f>C15/$C$2-1</f>
        <v/>
      </c>
      <c r="E15" s="9">
        <f>'Расчёт'!AA38</f>
        <v/>
      </c>
      <c r="F15" s="13">
        <f>E15/$E$2-1</f>
        <v/>
      </c>
    </row>
    <row r="16">
      <c r="A16" t="inlineStr">
        <is>
          <t>цена бензина</t>
        </is>
      </c>
      <c r="B16" s="9" t="n">
        <v>1.2</v>
      </c>
      <c r="C16" s="10">
        <f>'Расчёт'!AB63</f>
        <v/>
      </c>
      <c r="D16" s="13">
        <f>C16/$C$2-1</f>
        <v/>
      </c>
      <c r="E16" s="9">
        <f>'Расчёт'!AB38</f>
        <v/>
      </c>
      <c r="F16" s="13">
        <f>E16/$E$2-1</f>
        <v/>
      </c>
    </row>
    <row r="17">
      <c r="A17" t="inlineStr">
        <is>
          <t>ресурс батареи</t>
        </is>
      </c>
      <c r="B17" s="9" t="n">
        <v>0.8</v>
      </c>
      <c r="C17" s="10">
        <f>'Расчёт'!AC63</f>
        <v/>
      </c>
      <c r="D17" s="13">
        <f>C17/$C$2-1</f>
        <v/>
      </c>
      <c r="E17" s="9">
        <f>'Расчёт'!AC38</f>
        <v/>
      </c>
      <c r="F17" s="13">
        <f>E17/$E$2-1</f>
        <v/>
      </c>
    </row>
    <row r="18">
      <c r="A18" t="inlineStr">
        <is>
          <t>ресурс батареи</t>
        </is>
      </c>
      <c r="B18" s="9" t="n">
        <v>1.2</v>
      </c>
      <c r="C18" s="10">
        <f>'Расчёт'!AD63</f>
        <v/>
      </c>
      <c r="D18" s="13">
        <f>C18/$C$2-1</f>
        <v/>
      </c>
      <c r="E18" s="9">
        <f>'Расчёт'!AD38</f>
        <v/>
      </c>
      <c r="F18" s="13">
        <f>E18/$E$2-1</f>
        <v/>
      </c>
    </row>
    <row r="19">
      <c r="A19" t="inlineStr">
        <is>
          <t>рабочих дней в сезоне</t>
        </is>
      </c>
      <c r="B19" s="9" t="n">
        <v>0.8</v>
      </c>
      <c r="C19" s="10">
        <f>'Расчёт'!AE63</f>
        <v/>
      </c>
      <c r="D19" s="13">
        <f>C19/$C$2-1</f>
        <v/>
      </c>
      <c r="E19" s="9">
        <f>'Расчёт'!AE38</f>
        <v/>
      </c>
      <c r="F19" s="13">
        <f>E19/$E$2-1</f>
        <v/>
      </c>
    </row>
    <row r="20">
      <c r="A20" t="inlineStr">
        <is>
          <t>рабочих дней в сезоне</t>
        </is>
      </c>
      <c r="B20" s="9" t="n">
        <v>1.2</v>
      </c>
      <c r="C20" s="10">
        <f>'Расчёт'!AF63</f>
        <v/>
      </c>
      <c r="D20" s="13">
        <f>C20/$C$2-1</f>
        <v/>
      </c>
      <c r="E20" s="9">
        <f>'Расчёт'!AF38</f>
        <v/>
      </c>
      <c r="F20" s="13">
        <f>E20/$E$2-1</f>
        <v/>
      </c>
    </row>
    <row r="22">
      <c r="A22" s="5" t="inlineStr">
        <is>
          <t>Чтение: чем больше отклонение при одинаковом множителе, тем сильнее параметр влияет на тариф. Это и есть то, что надо измерять в пилоте первым.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26" customWidth="1" min="3" max="3"/>
    <col width="26" customWidth="1" min="4" max="4"/>
  </cols>
  <sheetData>
    <row r="1">
      <c r="A1" s="1" t="inlineStr">
        <is>
          <t>Показатель</t>
        </is>
      </c>
      <c r="B1" s="1" t="inlineStr">
        <is>
          <t>Единица</t>
        </is>
      </c>
      <c r="C1" s="1" t="inlineStr">
        <is>
          <t>База 150 кг/га (карбамид)</t>
        </is>
      </c>
      <c r="D1" s="1" t="inlineStr">
        <is>
          <t>База 250 кг/га (селитра)</t>
        </is>
      </c>
    </row>
    <row r="2">
      <c r="A2" t="inlineStr">
        <is>
          <t>Гектаров за сезон на один борт</t>
        </is>
      </c>
      <c r="B2" t="inlineStr">
        <is>
          <t>га</t>
        </is>
      </c>
      <c r="C2" s="9">
        <f>'Расчёт'!D38*days_per_season</f>
        <v/>
      </c>
      <c r="D2" s="9">
        <f>'Расчёт'!F38*days_per_season</f>
        <v/>
      </c>
    </row>
    <row r="3">
      <c r="A3" t="inlineStr">
        <is>
          <t>Гектаров за сезон, все борта</t>
        </is>
      </c>
      <c r="B3" t="inlineStr">
        <is>
          <t>га</t>
        </is>
      </c>
      <c r="C3" s="9">
        <f>C2*drones_in_winter</f>
        <v/>
      </c>
      <c r="D3" s="9">
        <f>D2*drones_in_winter</f>
        <v/>
      </c>
    </row>
    <row r="4">
      <c r="A4" t="inlineStr">
        <is>
          <t>Выручка по целевому тарифу</t>
        </is>
      </c>
      <c r="B4" t="inlineStr">
        <is>
          <t>сум</t>
        </is>
      </c>
      <c r="C4" s="10">
        <f>C3*'Расчёт'!D63</f>
        <v/>
      </c>
      <c r="D4" s="10">
        <f>D3*'Расчёт'!F63</f>
        <v/>
      </c>
    </row>
    <row r="5">
      <c r="A5" t="inlineStr">
        <is>
          <t>Прямые затраты</t>
        </is>
      </c>
      <c r="B5" t="inlineStr">
        <is>
          <t>сум</t>
        </is>
      </c>
      <c r="C5" s="10">
        <f>C3*'Расчёт'!D61</f>
        <v/>
      </c>
      <c r="D5" s="10">
        <f>D3*'Расчёт'!F61</f>
        <v/>
      </c>
    </row>
    <row r="6">
      <c r="A6" t="inlineStr">
        <is>
          <t>Накладные</t>
        </is>
      </c>
      <c r="B6" t="inlineStr">
        <is>
          <t>сум</t>
        </is>
      </c>
      <c r="C6" s="10">
        <f>C4*overhead_pct</f>
        <v/>
      </c>
      <c r="D6" s="10">
        <f>D4*overhead_pct</f>
        <v/>
      </c>
    </row>
    <row r="7">
      <c r="A7" t="inlineStr">
        <is>
          <t>Разбрасывателей докупить</t>
        </is>
      </c>
      <c r="B7" t="inlineStr">
        <is>
          <t>шт</t>
        </is>
      </c>
      <c r="C7" s="9">
        <f>MAX(0,drones_in_winter-spreaders_owned)</f>
        <v/>
      </c>
      <c r="D7" s="9">
        <f>MAX(0,drones_in_winter-spreaders_owned)</f>
        <v/>
      </c>
    </row>
    <row r="8">
      <c r="A8" t="inlineStr">
        <is>
          <t>Разовые расходы сезона</t>
        </is>
      </c>
      <c r="B8" t="inlineStr">
        <is>
          <t>сум</t>
        </is>
      </c>
      <c r="C8" s="10">
        <f>C7*spreader_price_usd*usd_rate+season_one_time_other</f>
        <v/>
      </c>
      <c r="D8" s="10">
        <f>D7*spreader_price_usd*usd_rate+season_one_time_other</f>
        <v/>
      </c>
    </row>
    <row r="9">
      <c r="A9" t="inlineStr">
        <is>
          <t>Маржа до разовых расходов</t>
        </is>
      </c>
      <c r="B9" t="inlineStr">
        <is>
          <t>сум</t>
        </is>
      </c>
      <c r="C9" s="10">
        <f>C4-C5-C6</f>
        <v/>
      </c>
      <c r="D9" s="10">
        <f>D4-D5-D6</f>
        <v/>
      </c>
    </row>
    <row r="10">
      <c r="A10" s="1" t="inlineStr">
        <is>
          <t>РЕЗУЛЬТАТ СЕЗОНА</t>
        </is>
      </c>
      <c r="B10" t="inlineStr">
        <is>
          <t>сум</t>
        </is>
      </c>
      <c r="C10" s="12">
        <f>C9-C8</f>
        <v/>
      </c>
      <c r="D10" s="12">
        <f>D9-D8</f>
        <v/>
      </c>
    </row>
    <row r="11">
      <c r="A11" t="inlineStr">
        <is>
          <t>Результат сезона</t>
        </is>
      </c>
      <c r="B11" t="inlineStr">
        <is>
          <t>USD</t>
        </is>
      </c>
      <c r="C11" s="10">
        <f>C10/usd_rate</f>
        <v/>
      </c>
      <c r="D11" s="10">
        <f>D10/usd_rate</f>
        <v/>
      </c>
    </row>
    <row r="13">
      <c r="A13" s="5" t="inlineStr">
        <is>
          <t>Для сравнения: сентябрь 2026 -- около 7 000 га опрыскивания в месяц по 200 000 сум/га, то есть ~1,4 млрд сум выручки за месяц пика. Зимнее разбрасывание -- заполнение простоя, не второй сезон.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8" customWidth="1" min="3" max="3"/>
  </cols>
  <sheetData>
    <row r="1">
      <c r="A1" s="1" t="inlineStr">
        <is>
          <t>КАЛИБРОВКА: та же модель затрат для текущего опрыскивания</t>
        </is>
      </c>
      <c r="B1" t="inlineStr">
        <is>
          <t>Единица</t>
        </is>
      </c>
      <c r="C1" t="inlineStr">
        <is>
          <t>Значение</t>
        </is>
      </c>
    </row>
    <row r="2">
      <c r="A2" t="inlineStr">
        <is>
          <t>Вылетов в час</t>
        </is>
      </c>
      <c r="B2" t="inlineStr">
        <is>
          <t>шт</t>
        </is>
      </c>
      <c r="C2" s="9">
        <f>60/(liq_flight_min+liq_refill_min)</f>
        <v/>
      </c>
    </row>
    <row r="3">
      <c r="A3" t="inlineStr">
        <is>
          <t>Гектаров за день</t>
        </is>
      </c>
      <c r="B3" t="inlineStr">
        <is>
          <t>га</t>
        </is>
      </c>
      <c r="C3" s="9">
        <f>C2*liq_ha_per_flight*eff_hours_per_day</f>
        <v/>
      </c>
    </row>
    <row r="4">
      <c r="A4" t="inlineStr">
        <is>
          <t>Доля цикла батареи за вылет</t>
        </is>
      </c>
      <c r="B4" t="inlineStr">
        <is>
          <t>доля</t>
        </is>
      </c>
      <c r="C4" s="9">
        <f>liq_flight_min/liq_cycle_equiv_min</f>
        <v/>
      </c>
    </row>
    <row r="5">
      <c r="A5" t="inlineStr">
        <is>
          <t>Износ батареи за вылет</t>
        </is>
      </c>
      <c r="B5" t="inlineStr">
        <is>
          <t>сум</t>
        </is>
      </c>
      <c r="C5" s="10">
        <f>battery_price_usd*usd_rate/battery_cycles*C4</f>
        <v/>
      </c>
    </row>
    <row r="6">
      <c r="A6" t="inlineStr">
        <is>
          <t>Бензин за вылет</t>
        </is>
      </c>
      <c r="B6" t="inlineStr">
        <is>
          <t>сум</t>
        </is>
      </c>
      <c r="C6" s="10">
        <f>battery_kwh*C4/charge_eff*gen_l_per_kwh*petrol_price</f>
        <v/>
      </c>
    </row>
    <row r="7">
      <c r="A7" t="inlineStr">
        <is>
          <t>Износ дрона за вылет</t>
        </is>
      </c>
      <c r="B7" t="inlineStr">
        <is>
          <t>сум</t>
        </is>
      </c>
      <c r="C7" s="10">
        <f>drone_wear_usd_h*usd_rate*liq_flight_min/60</f>
        <v/>
      </c>
    </row>
    <row r="8">
      <c r="A8" t="inlineStr">
        <is>
          <t>Итого за вылет</t>
        </is>
      </c>
      <c r="B8" t="inlineStr">
        <is>
          <t>сум</t>
        </is>
      </c>
      <c r="C8" s="10">
        <f>C5+C6+C7</f>
        <v/>
      </c>
    </row>
    <row r="9">
      <c r="A9" t="inlineStr">
        <is>
          <t>Батареи, бензин, износ на гектар</t>
        </is>
      </c>
      <c r="B9" t="inlineStr">
        <is>
          <t>сум/га</t>
        </is>
      </c>
      <c r="C9" s="10">
        <f>C8/liq_ha_per_flight</f>
        <v/>
      </c>
    </row>
    <row r="10">
      <c r="A10" t="inlineStr">
        <is>
          <t>Экипаж, транспорт, прочее на гектар</t>
        </is>
      </c>
      <c r="B10" t="inlineStr">
        <is>
          <t>сум/га</t>
        </is>
      </c>
      <c r="C10" s="10">
        <f>(pilot_day+helpers_count*helper_day+vehicle_km*(diesel_l_100km/100*diesel_price+vehicle_wear_km)+per_diem_day+other_day)/C3</f>
        <v/>
      </c>
    </row>
    <row r="11">
      <c r="A11" s="1" t="inlineStr">
        <is>
          <t>ПРЯМАЯ СЕБЕСТОИМОСТЬ ГЕКТАРА ОПРЫСКИВАНИЯ</t>
        </is>
      </c>
      <c r="B11" t="inlineStr">
        <is>
          <t>сум/га</t>
        </is>
      </c>
      <c r="C11" s="12">
        <f>C9+C10</f>
        <v/>
      </c>
    </row>
    <row r="12">
      <c r="A12" t="inlineStr">
        <is>
          <t>Маржа с гектара при 200 000 (после накладных)</t>
        </is>
      </c>
      <c r="B12" t="inlineStr">
        <is>
          <t>сум/га</t>
        </is>
      </c>
      <c r="C12" s="10">
        <f>liquid_tariff_external-C11-liquid_tariff_external*overhead_pct</f>
        <v/>
      </c>
    </row>
    <row r="13">
      <c r="A13" t="inlineStr">
        <is>
          <t>Внутренняя ставка минус прямая себестоимость</t>
        </is>
      </c>
      <c r="B13" t="inlineStr">
        <is>
          <t>сум/га</t>
        </is>
      </c>
      <c r="C13" s="10">
        <f>liquid_tariff_internal-C11</f>
        <v/>
      </c>
    </row>
    <row r="14">
      <c r="A14" s="5" t="inlineStr">
        <is>
          <t>Чтение: прямая себестоимость опрыскивания по этой модели должна лечь рядом с внутренней ставкой 75-86 тыс. сум/га. Если нет -- входы блока «Люди и транспорт» завышены или занижены.</t>
        </is>
      </c>
    </row>
    <row r="16">
      <c r="A16" s="1" t="inlineStr">
        <is>
          <t>СТОРОНА ФЕРМЕРА: селитра 200 кг/га, двухставочный тариф базы 250</t>
        </is>
      </c>
    </row>
    <row r="17">
      <c r="A17" t="inlineStr">
        <is>
          <t>Норма внесения</t>
        </is>
      </c>
      <c r="B17" t="inlineStr">
        <is>
          <t>кг/га</t>
        </is>
      </c>
      <c r="C17" s="14">
        <f>200</f>
        <v/>
      </c>
    </row>
    <row r="18">
      <c r="A18" t="inlineStr">
        <is>
          <t>Стоимость удобрения</t>
        </is>
      </c>
      <c r="B18" t="inlineStr">
        <is>
          <t>сум/га</t>
        </is>
      </c>
      <c r="C18" s="10">
        <f>C17/1000*nitrate_price_t</f>
        <v/>
      </c>
    </row>
    <row r="19">
      <c r="A19" t="inlineStr">
        <is>
          <t>Услуга дрона: ставка за га + ставка за кг x норма</t>
        </is>
      </c>
      <c r="B19" t="inlineStr">
        <is>
          <t>сум/га</t>
        </is>
      </c>
      <c r="C19" s="10">
        <f>'Расчёт'!F75+'Расчёт'!F76*C17</f>
        <v/>
      </c>
    </row>
    <row r="20">
      <c r="A20" t="inlineStr">
        <is>
          <t>Итого подкормка дроном</t>
        </is>
      </c>
      <c r="B20" t="inlineStr">
        <is>
          <t>сум/га</t>
        </is>
      </c>
      <c r="C20" s="10">
        <f>C18+C19</f>
        <v/>
      </c>
    </row>
    <row r="21">
      <c r="A21" t="inlineStr">
        <is>
          <t>Итого подкормка трактором/вручную</t>
        </is>
      </c>
      <c r="B21" t="inlineStr">
        <is>
          <t>сум/га</t>
        </is>
      </c>
      <c r="C21" s="10">
        <f>C18+ground_spread_cost_ha</f>
        <v/>
      </c>
    </row>
    <row r="22">
      <c r="A22" t="inlineStr">
        <is>
          <t>Надбавка за дрон против наземной альтернативы</t>
        </is>
      </c>
      <c r="B22" t="inlineStr">
        <is>
          <t>сум/га</t>
        </is>
      </c>
      <c r="C22" s="12">
        <f>C19-ground_spread_cost_ha</f>
        <v/>
      </c>
    </row>
    <row r="23">
      <c r="A23" t="inlineStr">
        <is>
          <t>Прибавка урожая, окупающая надбавку</t>
        </is>
      </c>
      <c r="B23" t="inlineStr">
        <is>
          <t>кг/га</t>
        </is>
      </c>
      <c r="C23" s="14">
        <f>C22/wheat_price_t*1000</f>
        <v/>
      </c>
    </row>
    <row r="24">
      <c r="A24" t="inlineStr">
        <is>
          <t>Та же прибавка в долях урожая</t>
        </is>
      </c>
      <c r="B24" t="inlineStr">
        <is>
          <t>доля</t>
        </is>
      </c>
      <c r="C24" s="15">
        <f>C23/1000/wheat_yield_t_ha</f>
        <v/>
      </c>
    </row>
    <row r="25">
      <c r="A25" t="inlineStr">
        <is>
          <t>Услуга к стоимости удобрения</t>
        </is>
      </c>
      <c r="B25" t="inlineStr">
        <is>
          <t>доля</t>
        </is>
      </c>
      <c r="C25" s="13">
        <f>C19/C18</f>
        <v/>
      </c>
    </row>
    <row r="27">
      <c r="A27" s="5" t="inlineStr">
        <is>
          <t>Чтение: фермеру дрон выгоден, если своевременность и равномерность дают прибавку урожая не меньше строки «Прибавка урожая, окупающая надбавку». Это главный аргумент КП, и его надо подтвердить агрономом.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</cols>
  <sheetData>
    <row r="1">
      <c r="A1" s="1" t="inlineStr">
        <is>
          <t>ТАРИФ ДЛЯ КП (из сценария «База 250», округление до 5 000 сум)</t>
        </is>
      </c>
      <c r="B1" t="inlineStr"/>
      <c r="C1" t="inlineStr"/>
    </row>
    <row r="2">
      <c r="A2" t="inlineStr">
        <is>
          <t>Ставка за гектар (выезд, облёт поля)</t>
        </is>
      </c>
      <c r="B2" t="inlineStr">
        <is>
          <t>сум/га</t>
        </is>
      </c>
      <c r="C2" s="12">
        <f>ROUND('Расчёт'!F75/5000,0)*5000</f>
        <v/>
      </c>
    </row>
    <row r="3">
      <c r="A3" t="inlineStr">
        <is>
          <t>Ставка за тонну внесённого удобрения</t>
        </is>
      </c>
      <c r="B3" t="inlineStr">
        <is>
          <t>сум/т</t>
        </is>
      </c>
      <c r="C3" s="12">
        <f>ROUND('Расчёт'!F77/5000,0)*5000</f>
        <v/>
      </c>
    </row>
    <row r="5">
      <c r="A5" s="1" t="inlineStr">
        <is>
          <t>Норма, кг/га</t>
        </is>
      </c>
      <c r="B5" s="1" t="inlineStr">
        <is>
          <t>Цена для фермера, сум/га</t>
        </is>
      </c>
      <c r="C5" s="1" t="inlineStr">
        <is>
          <t>К тарифу опрыскивания, раз</t>
        </is>
      </c>
    </row>
    <row r="6">
      <c r="A6" t="n">
        <v>100</v>
      </c>
      <c r="B6" s="10">
        <f>$C$2+$C$3*A6/1000</f>
        <v/>
      </c>
      <c r="C6" s="9">
        <f>B6/liquid_tariff_external</f>
        <v/>
      </c>
    </row>
    <row r="7">
      <c r="A7" t="n">
        <v>150</v>
      </c>
      <c r="B7" s="10">
        <f>$C$2+$C$3*A7/1000</f>
        <v/>
      </c>
      <c r="C7" s="9">
        <f>B7/liquid_tariff_external</f>
        <v/>
      </c>
    </row>
    <row r="8">
      <c r="A8" t="n">
        <v>200</v>
      </c>
      <c r="B8" s="10">
        <f>$C$2+$C$3*A8/1000</f>
        <v/>
      </c>
      <c r="C8" s="9">
        <f>B8/liquid_tariff_external</f>
        <v/>
      </c>
    </row>
    <row r="9">
      <c r="A9" t="n">
        <v>250</v>
      </c>
      <c r="B9" s="10">
        <f>$C$2+$C$3*A9/1000</f>
        <v/>
      </c>
      <c r="C9" s="9">
        <f>B9/liquid_tariff_external</f>
        <v/>
      </c>
    </row>
    <row r="10">
      <c r="A10" t="n">
        <v>300</v>
      </c>
      <c r="B10" s="10">
        <f>$C$2+$C$3*A10/1000</f>
        <v/>
      </c>
      <c r="C10" s="9">
        <f>B10/liquid_tariff_external</f>
        <v/>
      </c>
    </row>
    <row r="12">
      <c r="A12" s="5" t="inlineStr">
        <is>
          <t>Почему две ставки: время над гектаром почти не зависит от нормы, а число вылетов растёт с ней линейно. Один тариф «за гектар» либо разоряет нас при 250 кг/га, либо отпугивает фермера при 100 кг/га. Проверка в книге: строка «Контроль линейности» на листе «Расчёт» равна нулю.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0" customWidth="1" min="1" max="1"/>
    <col width="100" customWidth="1" min="2" max="2"/>
    <col width="60" customWidth="1" min="3" max="3"/>
  </cols>
  <sheetData>
    <row r="1">
      <c r="A1" s="1" t="inlineStr">
        <is>
          <t>Тип</t>
        </is>
      </c>
      <c r="B1" s="1" t="inlineStr">
        <is>
          <t>Утверждение</t>
        </is>
      </c>
      <c r="C1" s="1" t="inlineStr">
        <is>
          <t>Источник</t>
        </is>
      </c>
    </row>
    <row r="2">
      <c r="A2" t="inlineStr">
        <is>
          <t>ФАКТ</t>
        </is>
      </c>
      <c r="B2" s="5" t="inlineStr">
        <is>
          <t>DJI Agras T40: бак разбрасывателя 70 л / 50 кг, ширина 7 м, гранулы 0,5-5 мм, висение 6 мин при 101 кг, 7 мин при 90 кг, 18 мин при 50 кг; заявка 1,5 т/ч* при 149 кг/га, 7 м/с, 3 м</t>
        </is>
      </c>
      <c r="C2" s="5" t="inlineStr">
        <is>
          <t>Страницы DJI (dji.com/t40/specs, support) в пересказе поисковой выдачи; ритейлеры DJI (Dronefly, Ferntech, Aerosmart)</t>
        </is>
      </c>
    </row>
    <row r="3">
      <c r="A3" t="inlineStr">
        <is>
          <t>ФАКТ</t>
        </is>
      </c>
      <c r="B3" s="5" t="inlineStr">
        <is>
          <t>Батарея DB1560 30 000 мА·ч, 52,22 В; розница США 2 499 USD; гарантия 1 000-1 500 циклов (ритейлеры расходятся)</t>
        </is>
      </c>
      <c r="C3" s="5" t="inlineStr">
        <is>
          <t>Dronefly, DSLRPros, Reach.dog, Maverick Drone</t>
        </is>
      </c>
    </row>
    <row r="4">
      <c r="A4" t="inlineStr">
        <is>
          <t>ФАКТ</t>
        </is>
      </c>
      <c r="B4" s="5" t="inlineStr">
        <is>
          <t>Генератор D12000iE: 500 мл/кВт·ч, заряд батареи T40 9-12 мин</t>
        </is>
      </c>
      <c r="C4" s="5" t="inlineStr">
        <is>
          <t>Dronefly, Aerosmart, manualslib (пересказ)</t>
        </is>
      </c>
    </row>
    <row r="5">
      <c r="A5" t="inlineStr">
        <is>
          <t>ФАКТ</t>
        </is>
      </c>
      <c r="B5" s="5" t="inlineStr">
        <is>
          <t>Разбрасыватель T40 Spreading System 3.0: 1 199-1 499 USD; подача до 90 кг/мин</t>
        </is>
      </c>
      <c r="C5" s="5" t="inlineStr">
        <is>
          <t>Uniquephoto, Rippingitoutdoors, rcdrone.top</t>
        </is>
      </c>
    </row>
    <row r="6">
      <c r="A6" t="inlineStr">
        <is>
          <t>ФАКТ</t>
        </is>
      </c>
      <c r="B6" s="5" t="inlineStr">
        <is>
          <t>Дрон T40 б/у 2025 с 3 АКБ: 19 000 USD (США); новый без АКБ 13 499-15 999 USD</t>
        </is>
      </c>
      <c r="C6" s="5" t="inlineStr">
        <is>
          <t>Controller.com, Reach.dog</t>
        </is>
      </c>
    </row>
    <row r="7">
      <c r="A7" t="inlineStr">
        <is>
          <t>ФАКТ</t>
        </is>
      </c>
      <c r="B7" s="5" t="inlineStr">
        <is>
          <t>АИ-92 Ташкент 22.09.2026: 12 600 / 13 900 сум/л; дизель 14 700-15 900 сум/л; биржа дизель апр. 2026 15,86 млн сум/т</t>
        </is>
      </c>
      <c r="C7" s="5" t="inlineStr">
        <is>
          <t>Avtoelon.uz, Autostrada.uz, Kun.uz</t>
        </is>
      </c>
    </row>
    <row r="8">
      <c r="A8" t="inlineStr">
        <is>
          <t>ФАКТ</t>
        </is>
      </c>
      <c r="B8" s="5" t="inlineStr">
        <is>
          <t>Курс ЦБ РУз 29.10.2026: 11 965-12 004 сум/USD</t>
        </is>
      </c>
      <c r="C8" s="5" t="inlineStr">
        <is>
          <t>Kursiv.media, Repost.uz</t>
        </is>
      </c>
    </row>
    <row r="9">
      <c r="A9" t="inlineStr">
        <is>
          <t>ФАКТ</t>
        </is>
      </c>
      <c r="B9" s="5" t="inlineStr">
        <is>
          <t>Аммиачная селитра UZEX, авг. 2026: 3 813,2 -&gt; 3 766,5 тыс. сум/т</t>
        </is>
      </c>
      <c r="C9" s="5" t="inlineStr">
        <is>
          <t>Yuz.uz (биржевой обзор)</t>
        </is>
      </c>
    </row>
    <row r="10">
      <c r="A10" t="inlineStr">
        <is>
          <t>ФАКТ</t>
        </is>
      </c>
      <c r="B10" s="5" t="inlineStr">
        <is>
          <t>Внутренняя ставка опрыскивания 75 040-86 000 сум/га; внешняя 200 000 сум/га; 1,0-1,25 га за вылет; 27-41 л/га; сентябрь 2026 ~7 071 га RAW по 15 бортам</t>
        </is>
      </c>
      <c r="C10" s="5" t="inlineStr">
        <is>
          <t>Репозиторий: docs/tracks/drones.md (DRONE-MONEY-001, DRONE-OCT2025-PRICE-001, UAT 30.09.2026)</t>
        </is>
      </c>
    </row>
    <row r="11">
      <c r="A11" t="inlineStr">
        <is>
          <t>ФАКТ</t>
        </is>
      </c>
      <c r="B11" s="5" t="inlineStr">
        <is>
          <t>Селитра -- наиболее коррозионно-активное удобрение; следы селитры ускоряют коррозию в 2,5 раза</t>
        </is>
      </c>
      <c r="C11" s="5" t="inlineStr">
        <is>
          <t>РГАУ-МСХА, Агроинженерия 2026; Тамбов 2018</t>
        </is>
      </c>
    </row>
    <row r="12">
      <c r="A12" t="inlineStr">
        <is>
          <t>ОЦЕНКА</t>
        </is>
      </c>
      <c r="B12" s="5" t="inlineStr">
        <is>
          <t>Весенняя подкормка озимой пшеницы: Беларусь 120-200 кг/га селитры (оптимум 180); Украина 30-60 кг д.в./га; РФ 65-75 кг д.в./га первой подкормкой; Узбекистан (Хорезм) оптимум 120-180 кг N/га за сезон в зависимости от N почвы; фон N180P90K60 в Кашкадарье</t>
        </is>
      </c>
      <c r="C12" s="5" t="inlineStr">
        <is>
          <t>Горки 2006-08; Зернові культури 2020; Новомосковск; UNESCO/ZEF Khorezm 2005-07; AGRIS Кашкадарья</t>
        </is>
      </c>
    </row>
    <row r="13">
      <c r="A13" t="inlineStr">
        <is>
          <t>ОЦЕНКА</t>
        </is>
      </c>
      <c r="B13" s="5" t="inlineStr">
        <is>
          <t>Первая весенняя подкормка в Узбекистане -- по талой почве аммиачной селитрой (Карши, 2025); три срока подкормок</t>
        </is>
      </c>
      <c r="C13" s="5" t="inlineStr">
        <is>
          <t>vestnik.nauka.kz (аннотация)</t>
        </is>
      </c>
    </row>
    <row r="14">
      <c r="A14" t="inlineStr">
        <is>
          <t>ОЦЕНКА</t>
        </is>
      </c>
      <c r="B14" s="5" t="inlineStr">
        <is>
          <t>Бухара: январь ~1 °C, февраль ~6 °C; дней с осадками 1-5 в месяц; февраль -- самый облачный месяц</t>
        </is>
      </c>
      <c r="C14" s="5" t="inlineStr">
        <is>
          <t>Climate-zone.com, Weather Network (аэропорт Бухара), Яндекс Погода</t>
        </is>
      </c>
    </row>
    <row r="15">
      <c r="A15" t="inlineStr">
        <is>
          <t>ОЦЕНКА</t>
        </is>
      </c>
      <c r="B15" s="5" t="inlineStr">
        <is>
          <t>Ориентир наземной подкормки: сервисные организации Татарстана ~300 руб/га, по мерзлоталой почве -- «Туманы» на шинах низкого давления</t>
        </is>
      </c>
      <c r="C15" s="5" t="inlineStr">
        <is>
          <t>Минсельхоз Татарстана (доклад, без даты)</t>
        </is>
      </c>
    </row>
    <row r="16">
      <c r="A16" t="inlineStr">
        <is>
          <t>ОЦЕНКА</t>
        </is>
      </c>
      <c r="B16" s="5" t="inlineStr">
        <is>
          <t>США: услуги агродронов 8-25 USD/акр; расчёт Missouri Extension: 12,27 USD/акр собственная обработка, наём ~16 USD/акр (жидкость)</t>
        </is>
      </c>
      <c r="C16" s="5" t="inlineStr">
        <is>
          <t>Farmonaut, Missouri Extension g01274</t>
        </is>
      </c>
    </row>
    <row r="17">
      <c r="A17" t="inlineStr">
        <is>
          <t>ДОГАДКА</t>
        </is>
      </c>
      <c r="B17" s="5" t="inlineStr">
        <is>
          <t>Оплата пилота/помощников, пробег, износ, КПД зарядки, цена карбамида и пшеницы 2026, стоимость наземной альтернативы в районе</t>
        </is>
      </c>
      <c r="C17" s="5" t="inlineStr">
        <is>
          <t>Не найдено в открытых источниках -- заданы как редактируемые входы</t>
        </is>
      </c>
    </row>
    <row r="19">
      <c r="A19" s="5" t="inlineStr">
        <is>
          <t>Прямое чтение сайтов из облачной сессии было закрыто сетевой политикой: цифры взяты из поисковых сводок и помечены соответственно. Перед печатью КП сверить цены у поставщика и на UZEX.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2026-10-29T13:33:33Z</dcterms:created>
  <dcterms:modified xmlns:dcterms="http://purl.org/dc/terms/" xmlns:xsi="http://www.w3.org/2001/XMLSchema-instance" xsi:type="dcterms:W3CDTF">2026-10-29T13:33:33Z</dcterms:modified>
</cp:coreProperties>
</file>