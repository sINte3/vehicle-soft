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ы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Чувствительность" sheetId="3" state="visible" r:id="rId3"/>
    <sheet xmlns:r="http://schemas.openxmlformats.org/officeDocument/2006/relationships" name="Сезон" sheetId="4" state="visible" r:id="rId4"/>
    <sheet xmlns:r="http://schemas.openxmlformats.org/officeDocument/2006/relationships" name="Сравнение" sheetId="5" state="visible" r:id="rId5"/>
    <sheet xmlns:r="http://schemas.openxmlformats.org/officeDocument/2006/relationships" name="Тариф для КП" sheetId="6" state="visible" r:id="rId6"/>
    <sheet xmlns:r="http://schemas.openxmlformats.org/officeDocument/2006/relationships" name="Источники" sheetId="7" state="visible" r:id="rId7"/>
  </sheets>
  <definedNames>
    <definedName name="payload_kg">'Параметры'!$C$3</definedName>
    <definedName name="swath_eff_m">'Параметры'!$C$4</definedName>
    <definedName name="speed_ms">'Параметры'!$C$5</definedName>
    <definedName name="overhead_min">'Параметры'!$C$6</definedName>
    <definedName name="reload_min">'Параметры'!$C$7</definedName>
    <definedName name="eff_hours_per_day">'Параметры'!$C$8</definedName>
    <definedName name="days_per_season">'Параметры'!$C$9</definedName>
    <definedName name="max_flow_kg_min">'Параметры'!$C$10</definedName>
    <definedName name="cycle_equiv_min">'Параметры'!$C$11</definedName>
    <definedName name="battery_price_usd">'Параметры'!$C$13</definedName>
    <definedName name="battery_cycles">'Параметры'!$C$14</definedName>
    <definedName name="battery_kwh">'Параметры'!$C$15</definedName>
    <definedName name="gen_l_per_kwh">'Параметры'!$C$16</definedName>
    <definedName name="charge_eff">'Параметры'!$C$17</definedName>
    <definedName name="petrol_price">'Параметры'!$C$18</definedName>
    <definedName name="pilot_day">'Параметры'!$C$20</definedName>
    <definedName name="helpers_count">'Параметры'!$C$21</definedName>
    <definedName name="helper_day">'Параметры'!$C$22</definedName>
    <definedName name="vehicle_km">'Параметры'!$C$23</definedName>
    <definedName name="diesel_l_100km">'Параметры'!$C$24</definedName>
    <definedName name="diesel_price">'Параметры'!$C$25</definedName>
    <definedName name="vehicle_wear_km">'Параметры'!$C$26</definedName>
    <definedName name="per_diem_day">'Параметры'!$C$27</definedName>
    <definedName name="other_day">'Параметры'!$C$28</definedName>
    <definedName name="drone_wear_usd_h">'Параметры'!$C$30</definedName>
    <definedName name="fert_wear_premium">'Параметры'!$C$31</definedName>
    <definedName name="spreader_price_usd">'Параметры'!$C$32</definedName>
    <definedName name="spreader_life_seasons">'Параметры'!$C$33</definedName>
    <definedName name="drone_price_usd">'Параметры'!$C$34</definedName>
    <definedName name="drone_life_years">'Параметры'!$C$35</definedName>
    <definedName name="drone_dep_winter_share">'Параметры'!$C$36</definedName>
    <definedName name="overhead_pct">'Параметры'!$C$38</definedName>
    <definedName name="target_margin_pct">'Параметры'!$C$39</definedName>
    <definedName name="usd_rate">'Параметры'!$C$40</definedName>
    <definedName name="liquid_tariff_external">'Параметры'!$C$42</definedName>
    <definedName name="liquid_tariff_internal">'Параметры'!$C$43</definedName>
    <definedName name="nitrate_price_t">'Параметры'!$C$44</definedName>
    <definedName name="urea_price_t">'Параметры'!$C$45</definedName>
    <definedName name="wheat_price_t">'Параметры'!$C$46</definedName>
    <definedName name="wheat_yield_t_ha">'Параметры'!$C$47</definedName>
    <definedName name="ground_spread_cost_ha">'Параметры'!$C$48</definedName>
    <definedName name="liq_ha_per_flight">'Параметры'!$C$50</definedName>
    <definedName name="liq_flight_min">'Параметры'!$C$51</definedName>
    <definedName name="liq_refill_min">'Параметры'!$C$52</definedName>
    <definedName name="liq_cycle_equiv_min">'Параметры'!$C$53</definedName>
    <definedName name="drones_in_winter">'Параметры'!$C$55</definedName>
    <definedName name="spreaders_owned">'Параметры'!$C$56</definedName>
    <definedName name="season_one_time_other">'Параметры'!$C$57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3" fontId="0" fillId="3" borderId="0" pivotButton="0" quotePrefix="0" xfId="0"/>
    <xf numFmtId="2" fontId="0" fillId="3" borderId="0" pivotButton="0" quotePrefix="0" xfId="0"/>
    <xf numFmtId="0" fontId="1" fillId="2" borderId="0" applyAlignment="1" pivotButton="0" quotePrefix="0" xfId="0">
      <alignment vertical="top" wrapText="1"/>
    </xf>
    <xf numFmtId="2" fontId="0" fillId="0" borderId="0" pivotButton="0" quotePrefix="0" xfId="0"/>
    <xf numFmtId="3" fontId="0" fillId="0" borderId="0" pivotButton="0" quotePrefix="0" xfId="0"/>
    <xf numFmtId="2" fontId="0" fillId="4" borderId="0" pivotButton="0" quotePrefix="0" xfId="0"/>
    <xf numFmtId="3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4" customWidth="1" min="3" max="3"/>
    <col width="12" customWidth="1" min="4" max="4"/>
    <col width="10" customWidth="1" min="5" max="5"/>
    <col width="80" customWidth="1" min="6" max="6"/>
  </cols>
  <sheetData>
    <row r="1">
      <c r="A1" s="1" t="inlineStr">
        <is>
          <t>Код</t>
        </is>
      </c>
      <c r="B1" s="1" t="inlineStr">
        <is>
          <t>Параметр</t>
        </is>
      </c>
      <c r="C1" s="1" t="inlineStr">
        <is>
          <t>Значение</t>
        </is>
      </c>
      <c r="D1" s="1" t="inlineStr">
        <is>
          <t>Единица</t>
        </is>
      </c>
      <c r="E1" s="1" t="inlineStr">
        <is>
          <t>Тип</t>
        </is>
      </c>
      <c r="F1" s="1" t="inlineStr">
        <is>
          <t>Источник / комментарий</t>
        </is>
      </c>
    </row>
    <row r="2">
      <c r="A2" s="2" t="n"/>
      <c r="B2" s="3" t="inlineStr">
        <is>
          <t>ТЕХНИКА И ФИЗИКА ПОЛЁТА</t>
        </is>
      </c>
      <c r="C2" s="2" t="n"/>
      <c r="D2" s="2" t="n"/>
      <c r="E2" s="2" t="n"/>
      <c r="F2" s="2" t="n"/>
    </row>
    <row r="3">
      <c r="A3" t="inlineStr">
        <is>
          <t>payload_kg</t>
        </is>
      </c>
      <c r="B3" t="inlineStr">
        <is>
          <t>Полезная нагрузка за вылет</t>
        </is>
      </c>
      <c r="C3" s="4" t="n">
        <v>45</v>
      </c>
      <c r="D3" t="inlineStr">
        <is>
          <t>кг</t>
        </is>
      </c>
      <c r="E3" t="inlineStr">
        <is>
          <t>ОЦЕНКА</t>
        </is>
      </c>
      <c r="F3" s="5" t="inlineStr">
        <is>
          <t>Владелец: 40-50 кг. Паспорт DJI: бак 70 л, до 50 кг.</t>
        </is>
      </c>
    </row>
    <row r="4">
      <c r="A4" t="inlineStr">
        <is>
          <t>swath_eff_m</t>
        </is>
      </c>
      <c r="B4" t="inlineStr">
        <is>
          <t>Эффективная ширина захвата</t>
        </is>
      </c>
      <c r="C4" s="4" t="n">
        <v>6</v>
      </c>
      <c r="D4" t="inlineStr">
        <is>
          <t>м</t>
        </is>
      </c>
      <c r="E4" t="inlineStr">
        <is>
          <t>ДОГАДКА</t>
        </is>
      </c>
      <c r="F4" s="5" t="inlineStr">
        <is>
          <t>Паспорт DJI: 7 м. Минус перекрытие проходов и кромки.</t>
        </is>
      </c>
    </row>
    <row r="5">
      <c r="A5" t="inlineStr">
        <is>
          <t>speed_ms</t>
        </is>
      </c>
      <c r="B5" t="inlineStr">
        <is>
          <t>Рабочая скорость над полем</t>
        </is>
      </c>
      <c r="C5" s="4" t="n">
        <v>6</v>
      </c>
      <c r="D5" t="inlineStr">
        <is>
          <t>м/с</t>
        </is>
      </c>
      <c r="E5" t="inlineStr">
        <is>
          <t>ОЦЕНКА</t>
        </is>
      </c>
      <c r="F5" s="5" t="inlineStr">
        <is>
          <t>Тестовые параметры DJI для 1,5 т/ч: 7 м/с, высота 3 м.</t>
        </is>
      </c>
    </row>
    <row r="6">
      <c r="A6" t="inlineStr">
        <is>
          <t>overhead_min</t>
        </is>
      </c>
      <c r="B6" t="inlineStr">
        <is>
          <t>Накладное время вылета (взлёт, подлёт, посадка)</t>
        </is>
      </c>
      <c r="C6" s="4" t="n">
        <v>1.5</v>
      </c>
      <c r="D6" t="inlineStr">
        <is>
          <t>мин</t>
        </is>
      </c>
      <c r="E6" t="inlineStr">
        <is>
          <t>ДОГАДКА</t>
        </is>
      </c>
      <c r="F6" s="5" t="inlineStr">
        <is>
          <t>Станция у кромки поля, подлёт до 300 м. Проверить пилотом.</t>
        </is>
      </c>
    </row>
    <row r="7">
      <c r="A7" t="inlineStr">
        <is>
          <t>reload_min</t>
        </is>
      </c>
      <c r="B7" t="inlineStr">
        <is>
          <t>Загрузка бака и смена батареи</t>
        </is>
      </c>
      <c r="C7" s="4" t="n">
        <v>1.5</v>
      </c>
      <c r="D7" t="inlineStr">
        <is>
          <t>мин</t>
        </is>
      </c>
      <c r="E7" t="inlineStr">
        <is>
          <t>ДОГАДКА</t>
        </is>
      </c>
      <c r="F7" s="5" t="inlineStr">
        <is>
          <t>Два помощника, мешок 50 кг, засыпка по весовому датчику. Главный рычаг.</t>
        </is>
      </c>
    </row>
    <row r="8">
      <c r="A8" t="inlineStr">
        <is>
          <t>eff_hours_per_day</t>
        </is>
      </c>
      <c r="B8" t="inlineStr">
        <is>
          <t>Эффективное лётное время за день</t>
        </is>
      </c>
      <c r="C8" s="4" t="n">
        <v>3</v>
      </c>
      <c r="D8" t="inlineStr">
        <is>
          <t>ч</t>
        </is>
      </c>
      <c r="E8" t="inlineStr">
        <is>
          <t>ОЦЕНКА</t>
        </is>
      </c>
      <c r="F8" s="5" t="inlineStr">
        <is>
          <t>Сентябрь: ~7 000 га / 15 бортов / ~25 дней при 1,0-1,25 га за вылет -&gt; ~3 ч чистого налёта в день.</t>
        </is>
      </c>
    </row>
    <row r="9">
      <c r="A9" t="inlineStr">
        <is>
          <t>days_per_season</t>
        </is>
      </c>
      <c r="B9" t="inlineStr">
        <is>
          <t>Рабочих дней за зимний сезон на борт</t>
        </is>
      </c>
      <c r="C9" s="4" t="n">
        <v>30</v>
      </c>
      <c r="D9" t="inlineStr">
        <is>
          <t>дн</t>
        </is>
      </c>
      <c r="E9" t="inlineStr">
        <is>
          <t>ДОГАДКА</t>
        </is>
      </c>
      <c r="F9" s="5" t="inlineStr">
        <is>
          <t>Окно подкормки ~1.02-20.03 (48 дней) минус выходные и погода.</t>
        </is>
      </c>
    </row>
    <row r="10">
      <c r="A10" t="inlineStr">
        <is>
          <t>max_flow_kg_min</t>
        </is>
      </c>
      <c r="B10" t="inlineStr">
        <is>
          <t>Максимальная подача разбрасывателя</t>
        </is>
      </c>
      <c r="C10" s="4" t="n">
        <v>90</v>
      </c>
      <c r="D10" t="inlineStr">
        <is>
          <t>кг/мин</t>
        </is>
      </c>
      <c r="E10" t="inlineStr">
        <is>
          <t>ОЦЕНКА</t>
        </is>
      </c>
      <c r="F10" s="5" t="inlineStr">
        <is>
          <t>Данные ритейлеров DJI; тест DJI 149 кг/га при 17,6 га/ч = 44 кг/мин.</t>
        </is>
      </c>
    </row>
    <row r="11">
      <c r="A11" t="inlineStr">
        <is>
          <t>cycle_equiv_min</t>
        </is>
      </c>
      <c r="B11" t="inlineStr">
        <is>
          <t>Минут полёта на один полный цикл батареи</t>
        </is>
      </c>
      <c r="C11" s="4" t="n">
        <v>9</v>
      </c>
      <c r="D11" t="inlineStr">
        <is>
          <t>мин</t>
        </is>
      </c>
      <c r="E11" t="inlineStr">
        <is>
          <t>ОЦЕНКА</t>
        </is>
      </c>
      <c r="F11" s="5" t="inlineStr">
        <is>
          <t>DJI: висение 6 мин при 101 кг (полный бак), 18 мин при 50 кг (пустой); вес падает по ходу вылета.</t>
        </is>
      </c>
    </row>
    <row r="12">
      <c r="A12" s="2" t="n"/>
      <c r="B12" s="3" t="inlineStr">
        <is>
          <t>БАТАРЕИ И ЭНЕРГИЯ</t>
        </is>
      </c>
      <c r="C12" s="2" t="n"/>
      <c r="D12" s="2" t="n"/>
      <c r="E12" s="2" t="n"/>
      <c r="F12" s="2" t="n"/>
    </row>
    <row r="13">
      <c r="A13" t="inlineStr">
        <is>
          <t>battery_price_usd</t>
        </is>
      </c>
      <c r="B13" t="inlineStr">
        <is>
          <t>Цена батареи T40 (DB1560, 30 000 мА·ч)</t>
        </is>
      </c>
      <c r="C13" s="6" t="n">
        <v>1800</v>
      </c>
      <c r="D13" t="inlineStr">
        <is>
          <t>USD</t>
        </is>
      </c>
      <c r="E13" t="inlineStr">
        <is>
          <t>ДОГАДКА</t>
        </is>
      </c>
      <c r="F13" s="5" t="inlineStr">
        <is>
          <t>Розница США 2 499 USD; поставки из Китая дешевле. Уточнить у поставщика.</t>
        </is>
      </c>
    </row>
    <row r="14">
      <c r="A14" t="inlineStr">
        <is>
          <t>battery_cycles</t>
        </is>
      </c>
      <c r="B14" t="inlineStr">
        <is>
          <t>Ресурс батареи</t>
        </is>
      </c>
      <c r="C14" s="6" t="n">
        <v>1200</v>
      </c>
      <c r="D14" t="inlineStr">
        <is>
          <t>циклов</t>
        </is>
      </c>
      <c r="E14" t="inlineStr">
        <is>
          <t>ОЦЕНКА</t>
        </is>
      </c>
      <c r="F14" s="5" t="inlineStr">
        <is>
          <t>Гарантия DJI по данным ритейлеров: 1 000-1 500 циклов.</t>
        </is>
      </c>
    </row>
    <row r="15">
      <c r="A15" t="inlineStr">
        <is>
          <t>battery_kwh</t>
        </is>
      </c>
      <c r="B15" t="inlineStr">
        <is>
          <t>Ёмкость батареи</t>
        </is>
      </c>
      <c r="C15" s="4" t="n">
        <v>1.567</v>
      </c>
      <c r="D15" t="inlineStr">
        <is>
          <t>кВт·ч</t>
        </is>
      </c>
      <c r="E15" t="inlineStr">
        <is>
          <t>ФАКТ</t>
        </is>
      </c>
      <c r="F15" s="5" t="inlineStr">
        <is>
          <t>30 А·ч x 52,22 В.</t>
        </is>
      </c>
    </row>
    <row r="16">
      <c r="A16" t="inlineStr">
        <is>
          <t>gen_l_per_kwh</t>
        </is>
      </c>
      <c r="B16" t="inlineStr">
        <is>
          <t>Расход бензина генератором D12000iE</t>
        </is>
      </c>
      <c r="C16" s="7" t="n">
        <v>0.5</v>
      </c>
      <c r="D16" t="inlineStr">
        <is>
          <t>л/кВт·ч</t>
        </is>
      </c>
      <c r="E16" t="inlineStr">
        <is>
          <t>ФАКТ</t>
        </is>
      </c>
      <c r="F16" s="5" t="inlineStr">
        <is>
          <t>Паспорт DJI: 500 мл/кВт·ч.</t>
        </is>
      </c>
    </row>
    <row r="17">
      <c r="A17" t="inlineStr">
        <is>
          <t>charge_eff</t>
        </is>
      </c>
      <c r="B17" t="inlineStr">
        <is>
          <t>КПД зарядки (доля энергии, дошедшей в батарею)</t>
        </is>
      </c>
      <c r="C17" s="7" t="n">
        <v>0.85</v>
      </c>
      <c r="D17" t="inlineStr">
        <is>
          <t>доля</t>
        </is>
      </c>
      <c r="E17" t="inlineStr">
        <is>
          <t>ДОГАДКА</t>
        </is>
      </c>
      <c r="F17" s="5" t="inlineStr"/>
    </row>
    <row r="18">
      <c r="A18" t="inlineStr">
        <is>
          <t>petrol_price</t>
        </is>
      </c>
      <c r="B18" t="inlineStr">
        <is>
          <t>Цена бензина АИ-92</t>
        </is>
      </c>
      <c r="C18" s="6" t="n">
        <v>13000</v>
      </c>
      <c r="D18" t="inlineStr">
        <is>
          <t>сум/л</t>
        </is>
      </c>
      <c r="E18" t="inlineStr">
        <is>
          <t>ФАКТ</t>
        </is>
      </c>
      <c r="F18" s="5" t="inlineStr">
        <is>
          <t>Ташкент, 22.09.2026: 12 600 (местный) / 13 900 (импортный).</t>
        </is>
      </c>
    </row>
    <row r="19">
      <c r="A19" s="2" t="n"/>
      <c r="B19" s="3" t="inlineStr">
        <is>
          <t>ЛЮДИ И ТРАНСПОРТ (НА РАБОЧИЙ ДЕНЬ)</t>
        </is>
      </c>
      <c r="C19" s="2" t="n"/>
      <c r="D19" s="2" t="n"/>
      <c r="E19" s="2" t="n"/>
      <c r="F19" s="2" t="n"/>
    </row>
    <row r="20">
      <c r="A20" t="inlineStr">
        <is>
          <t>pilot_day</t>
        </is>
      </c>
      <c r="B20" t="inlineStr">
        <is>
          <t>Оплата пилота за рабочий день</t>
        </is>
      </c>
      <c r="C20" s="6" t="n">
        <v>400000</v>
      </c>
      <c r="D20" t="inlineStr">
        <is>
          <t>сум</t>
        </is>
      </c>
      <c r="E20" t="inlineStr">
        <is>
          <t>ДОГАДКА</t>
        </is>
      </c>
      <c r="F20" s="5" t="inlineStr">
        <is>
          <t>Paylab: операторы сельхозтехники 3,6-7,4 млн/мес; пилот дрона выше. Уточнить по своим ведомостям.</t>
        </is>
      </c>
    </row>
    <row r="21">
      <c r="A21" t="inlineStr">
        <is>
          <t>helpers_count</t>
        </is>
      </c>
      <c r="B21" t="inlineStr">
        <is>
          <t>Помощников на загрузке</t>
        </is>
      </c>
      <c r="C21" s="4" t="n">
        <v>2</v>
      </c>
      <c r="D21" t="inlineStr">
        <is>
          <t>чел</t>
        </is>
      </c>
      <c r="E21" t="inlineStr">
        <is>
          <t>ДОГАДКА</t>
        </is>
      </c>
      <c r="F21" s="5" t="inlineStr">
        <is>
          <t>Один человек 60 мешков по 45 кг за день не поднимет.</t>
        </is>
      </c>
    </row>
    <row r="22">
      <c r="A22" t="inlineStr">
        <is>
          <t>helper_day</t>
        </is>
      </c>
      <c r="B22" t="inlineStr">
        <is>
          <t>Оплата помощника за день</t>
        </is>
      </c>
      <c r="C22" s="6" t="n">
        <v>180000</v>
      </c>
      <c r="D22" t="inlineStr">
        <is>
          <t>сум</t>
        </is>
      </c>
      <c r="E22" t="inlineStr">
        <is>
          <t>ДОГАДКА</t>
        </is>
      </c>
      <c r="F22" s="5" t="inlineStr"/>
    </row>
    <row r="23">
      <c r="A23" t="inlineStr">
        <is>
          <t>vehicle_km</t>
        </is>
      </c>
      <c r="B23" t="inlineStr">
        <is>
          <t>Пробег машины сопровождения за день</t>
        </is>
      </c>
      <c r="C23" s="4" t="n">
        <v>100</v>
      </c>
      <c r="D23" t="inlineStr">
        <is>
          <t>км</t>
        </is>
      </c>
      <c r="E23" t="inlineStr">
        <is>
          <t>ДОГАДКА</t>
        </is>
      </c>
      <c r="F23" s="5" t="inlineStr"/>
    </row>
    <row r="24">
      <c r="A24" t="inlineStr">
        <is>
          <t>diesel_l_100km</t>
        </is>
      </c>
      <c r="B24" t="inlineStr">
        <is>
          <t>Расход дизеля машины сопровождения</t>
        </is>
      </c>
      <c r="C24" s="4" t="n">
        <v>12</v>
      </c>
      <c r="D24" t="inlineStr">
        <is>
          <t>л/100 км</t>
        </is>
      </c>
      <c r="E24" t="inlineStr">
        <is>
          <t>ДОГАДКА</t>
        </is>
      </c>
      <c r="F24" s="5" t="inlineStr"/>
    </row>
    <row r="25">
      <c r="A25" t="inlineStr">
        <is>
          <t>diesel_price</t>
        </is>
      </c>
      <c r="B25" t="inlineStr">
        <is>
          <t>Цена дизельного топлива</t>
        </is>
      </c>
      <c r="C25" s="6" t="n">
        <v>15000</v>
      </c>
      <c r="D25" t="inlineStr">
        <is>
          <t>сум/л</t>
        </is>
      </c>
      <c r="E25" t="inlineStr">
        <is>
          <t>ОЦЕНКА</t>
        </is>
      </c>
      <c r="F25" s="5" t="inlineStr">
        <is>
          <t>АЗС Ташкента 14 700-15 900; биржа апрель 2026: 15,86 млн сум/т.</t>
        </is>
      </c>
    </row>
    <row r="26">
      <c r="A26" t="inlineStr">
        <is>
          <t>vehicle_wear_km</t>
        </is>
      </c>
      <c r="B26" t="inlineStr">
        <is>
          <t>Износ машины сопровождения</t>
        </is>
      </c>
      <c r="C26" s="6" t="n">
        <v>1500</v>
      </c>
      <c r="D26" t="inlineStr">
        <is>
          <t>сум/км</t>
        </is>
      </c>
      <c r="E26" t="inlineStr">
        <is>
          <t>ДОГАДКА</t>
        </is>
      </c>
      <c r="F26" s="5" t="inlineStr"/>
    </row>
    <row r="27">
      <c r="A27" t="inlineStr">
        <is>
          <t>per_diem_day</t>
        </is>
      </c>
      <c r="B27" t="inlineStr">
        <is>
          <t>Питание и проживание экипажа</t>
        </is>
      </c>
      <c r="C27" s="6" t="n">
        <v>100000</v>
      </c>
      <c r="D27" t="inlineStr">
        <is>
          <t>сум/день</t>
        </is>
      </c>
      <c r="E27" t="inlineStr">
        <is>
          <t>ДОГАДКА</t>
        </is>
      </c>
      <c r="F27" s="5" t="inlineStr"/>
    </row>
    <row r="28">
      <c r="A28" t="inlineStr">
        <is>
          <t>other_day</t>
        </is>
      </c>
      <c r="B28" t="inlineStr">
        <is>
          <t>Прочее за день (износ генератора, связь, промывка)</t>
        </is>
      </c>
      <c r="C28" s="6" t="n">
        <v>50000</v>
      </c>
      <c r="D28" t="inlineStr">
        <is>
          <t>сум/день</t>
        </is>
      </c>
      <c r="E28" t="inlineStr">
        <is>
          <t>ДОГАДКА</t>
        </is>
      </c>
      <c r="F28" s="5" t="inlineStr"/>
    </row>
    <row r="29">
      <c r="A29" s="2" t="n"/>
      <c r="B29" s="3" t="inlineStr">
        <is>
          <t>ИЗНОС И АМОРТИЗАЦИЯ ТЕХНИКИ</t>
        </is>
      </c>
      <c r="C29" s="2" t="n"/>
      <c r="D29" s="2" t="n"/>
      <c r="E29" s="2" t="n"/>
      <c r="F29" s="2" t="n"/>
    </row>
    <row r="30">
      <c r="A30" t="inlineStr">
        <is>
          <t>drone_wear_usd_h</t>
        </is>
      </c>
      <c r="B30" t="inlineStr">
        <is>
          <t>Ремонтный резерв дрона за лётный час</t>
        </is>
      </c>
      <c r="C30" s="4" t="n">
        <v>5</v>
      </c>
      <c r="D30" t="inlineStr">
        <is>
          <t>USD/ч</t>
        </is>
      </c>
      <c r="E30" t="inlineStr">
        <is>
          <t>ДОГАДКА</t>
        </is>
      </c>
      <c r="F30" s="5" t="inlineStr">
        <is>
          <t>Винты, моторы, мелкий ремонт: ~2 500 USD на 500 лётных часов.</t>
        </is>
      </c>
    </row>
    <row r="31">
      <c r="A31" t="inlineStr">
        <is>
          <t>fert_wear_premium</t>
        </is>
      </c>
      <c r="B31" t="inlineStr">
        <is>
          <t>Надбавка к износу за удобрения (коррозия, пыль)</t>
        </is>
      </c>
      <c r="C31" s="7" t="n">
        <v>0.5</v>
      </c>
      <c r="D31" t="inlineStr">
        <is>
          <t>доля</t>
        </is>
      </c>
      <c r="E31" t="inlineStr">
        <is>
          <t>ДОГАДКА</t>
        </is>
      </c>
      <c r="F31" s="5" t="inlineStr">
        <is>
          <t>Селитра -- самое коррозионно-активное удобрение (РГАУ-МСХА, 2026).</t>
        </is>
      </c>
    </row>
    <row r="32">
      <c r="A32" t="inlineStr">
        <is>
          <t>spreader_price_usd</t>
        </is>
      </c>
      <c r="B32" t="inlineStr">
        <is>
          <t>Цена разбрасывателя T40 Spreading System 3.0</t>
        </is>
      </c>
      <c r="C32" s="6" t="n">
        <v>1300</v>
      </c>
      <c r="D32" t="inlineStr">
        <is>
          <t>USD</t>
        </is>
      </c>
      <c r="E32" t="inlineStr">
        <is>
          <t>ФАКТ</t>
        </is>
      </c>
      <c r="F32" s="5" t="inlineStr">
        <is>
          <t>Розница 1 199-1 499 USD (2025).</t>
        </is>
      </c>
    </row>
    <row r="33">
      <c r="A33" t="inlineStr">
        <is>
          <t>spreader_life_seasons</t>
        </is>
      </c>
      <c r="B33" t="inlineStr">
        <is>
          <t>Срок службы разбрасывателя</t>
        </is>
      </c>
      <c r="C33" s="4" t="n">
        <v>2</v>
      </c>
      <c r="D33" t="inlineStr">
        <is>
          <t>сезонов</t>
        </is>
      </c>
      <c r="E33" t="inlineStr">
        <is>
          <t>ДОГАДКА</t>
        </is>
      </c>
      <c r="F33" s="5" t="inlineStr"/>
    </row>
    <row r="34">
      <c r="A34" t="inlineStr">
        <is>
          <t>drone_price_usd</t>
        </is>
      </c>
      <c r="B34" t="inlineStr">
        <is>
          <t>Цена дрона T40 (без разбрасывателя)</t>
        </is>
      </c>
      <c r="C34" s="6" t="n">
        <v>20000</v>
      </c>
      <c r="D34" t="inlineStr">
        <is>
          <t>USD</t>
        </is>
      </c>
      <c r="E34" t="inlineStr">
        <is>
          <t>ОЦЕНКА</t>
        </is>
      </c>
      <c r="F34" s="5" t="inlineStr">
        <is>
          <t>Б/у 2025 с 3 АКБ: 19 000 USD; новый без АКБ 13 500-16 000 USD.</t>
        </is>
      </c>
    </row>
    <row r="35">
      <c r="A35" t="inlineStr">
        <is>
          <t>drone_life_years</t>
        </is>
      </c>
      <c r="B35" t="inlineStr">
        <is>
          <t>Срок амортизации дрона</t>
        </is>
      </c>
      <c r="C35" s="4" t="n">
        <v>5</v>
      </c>
      <c r="D35" t="inlineStr">
        <is>
          <t>лет</t>
        </is>
      </c>
      <c r="E35" t="inlineStr">
        <is>
          <t>ДОГАДКА</t>
        </is>
      </c>
      <c r="F35" s="5" t="inlineStr"/>
    </row>
    <row r="36">
      <c r="A36" t="inlineStr">
        <is>
          <t>drone_dep_winter_share</t>
        </is>
      </c>
      <c r="B36" t="inlineStr">
        <is>
          <t>Доля годовой амортизации дрона, относимая на зиму</t>
        </is>
      </c>
      <c r="C36" s="7" t="n">
        <v>0</v>
      </c>
      <c r="D36" t="inlineStr">
        <is>
          <t>доля</t>
        </is>
      </c>
      <c r="E36" t="inlineStr">
        <is>
          <t>РЕШЕНИЕ</t>
        </is>
      </c>
      <c r="F36" s="5" t="inlineStr">
        <is>
          <t>0 = парк уже окупается летом (маржинальный взгляд). 0,2-0,3 = полная себестоимость.</t>
        </is>
      </c>
    </row>
    <row r="37">
      <c r="A37" s="2" t="n"/>
      <c r="B37" s="3" t="inlineStr">
        <is>
          <t>НАКЛАДНЫЕ, МАРЖА, КУРС</t>
        </is>
      </c>
      <c r="C37" s="2" t="n"/>
      <c r="D37" s="2" t="n"/>
      <c r="E37" s="2" t="n"/>
      <c r="F37" s="2" t="n"/>
    </row>
    <row r="38">
      <c r="A38" t="inlineStr">
        <is>
          <t>overhead_pct</t>
        </is>
      </c>
      <c r="B38" t="inlineStr">
        <is>
          <t>Накладные расходы (диспетчер, учёт, страховка)</t>
        </is>
      </c>
      <c r="C38" s="7" t="n">
        <v>0.1</v>
      </c>
      <c r="D38" t="inlineStr">
        <is>
          <t>доля выручки</t>
        </is>
      </c>
      <c r="E38" t="inlineStr">
        <is>
          <t>ДОГАДКА</t>
        </is>
      </c>
      <c r="F38" s="5" t="inlineStr"/>
    </row>
    <row r="39">
      <c r="A39" t="inlineStr">
        <is>
          <t>target_margin_pct</t>
        </is>
      </c>
      <c r="B39" t="inlineStr">
        <is>
          <t>Целевая маржа</t>
        </is>
      </c>
      <c r="C39" s="7" t="n">
        <v>0.25</v>
      </c>
      <c r="D39" t="inlineStr">
        <is>
          <t>доля выручки</t>
        </is>
      </c>
      <c r="E39" t="inlineStr">
        <is>
          <t>РЕШЕНИЕ</t>
        </is>
      </c>
      <c r="F39" s="5" t="inlineStr">
        <is>
          <t>Задаёт владелец.</t>
        </is>
      </c>
    </row>
    <row r="40">
      <c r="A40" t="inlineStr">
        <is>
          <t>usd_rate</t>
        </is>
      </c>
      <c r="B40" t="inlineStr">
        <is>
          <t>Курс USD/UZS</t>
        </is>
      </c>
      <c r="C40" s="6" t="n">
        <v>12000</v>
      </c>
      <c r="D40" t="inlineStr">
        <is>
          <t>сум</t>
        </is>
      </c>
      <c r="E40" t="inlineStr">
        <is>
          <t>ФАКТ</t>
        </is>
      </c>
      <c r="F40" s="5" t="inlineStr">
        <is>
          <t>ЦБ РУз 29.10.2026: 11 965-12 004.</t>
        </is>
      </c>
    </row>
    <row r="41">
      <c r="A41" s="2" t="n"/>
      <c r="B41" s="3" t="inlineStr">
        <is>
          <t>РЫНОК И СТОРОНА ФЕРМЕРА</t>
        </is>
      </c>
      <c r="C41" s="2" t="n"/>
      <c r="D41" s="2" t="n"/>
      <c r="E41" s="2" t="n"/>
      <c r="F41" s="2" t="n"/>
    </row>
    <row r="42">
      <c r="A42" t="inlineStr">
        <is>
          <t>liquid_tariff_external</t>
        </is>
      </c>
      <c r="B42" t="inlineStr">
        <is>
          <t>Текущий тариф опрыскивания, внешние заказчики</t>
        </is>
      </c>
      <c r="C42" s="6" t="n">
        <v>200000</v>
      </c>
      <c r="D42" t="inlineStr">
        <is>
          <t>сум/га</t>
        </is>
      </c>
      <c r="E42" t="inlineStr">
        <is>
          <t>ФАКТ</t>
        </is>
      </c>
      <c r="F42" s="5" t="inlineStr">
        <is>
          <t>Владелец.</t>
        </is>
      </c>
    </row>
    <row r="43">
      <c r="A43" t="inlineStr">
        <is>
          <t>liquid_tariff_internal</t>
        </is>
      </c>
      <c r="B43" t="inlineStr">
        <is>
          <t>Ставка внутреннего контура (земли Агрокластера)</t>
        </is>
      </c>
      <c r="C43" s="6" t="n">
        <v>80000</v>
      </c>
      <c r="D43" t="inlineStr">
        <is>
          <t>сум/га</t>
        </is>
      </c>
      <c r="E43" t="inlineStr">
        <is>
          <t>ФАКТ</t>
        </is>
      </c>
      <c r="F43" s="5" t="inlineStr">
        <is>
          <t>Книги сентября 2025: 75 040 / 76 458 / 85 633 / 86 000.</t>
        </is>
      </c>
    </row>
    <row r="44">
      <c r="A44" t="inlineStr">
        <is>
          <t>nitrate_price_t</t>
        </is>
      </c>
      <c r="B44" t="inlineStr">
        <is>
          <t>Аммиачная селитра (34,4% N)</t>
        </is>
      </c>
      <c r="C44" s="6" t="n">
        <v>3770000</v>
      </c>
      <c r="D44" t="inlineStr">
        <is>
          <t>сум/т</t>
        </is>
      </c>
      <c r="E44" t="inlineStr">
        <is>
          <t>ФАКТ</t>
        </is>
      </c>
      <c r="F44" s="5" t="inlineStr">
        <is>
          <t>UZEX, август 2026: 3 766,5 тыс. сум/т.</t>
        </is>
      </c>
    </row>
    <row r="45">
      <c r="A45" t="inlineStr">
        <is>
          <t>urea_price_t</t>
        </is>
      </c>
      <c r="B45" t="inlineStr">
        <is>
          <t>Карбамид (46% N)</t>
        </is>
      </c>
      <c r="C45" s="6" t="n">
        <v>3000000</v>
      </c>
      <c r="D45" t="inlineStr">
        <is>
          <t>сум/т</t>
        </is>
      </c>
      <c r="E45" t="inlineStr">
        <is>
          <t>ДОГАДКА</t>
        </is>
      </c>
      <c r="F45" s="5" t="inlineStr">
        <is>
          <t>Свежей биржевой цены 2026 не найдено; мировая ~700 USD/т (апр. 2026).</t>
        </is>
      </c>
    </row>
    <row r="46">
      <c r="A46" t="inlineStr">
        <is>
          <t>wheat_price_t</t>
        </is>
      </c>
      <c r="B46" t="inlineStr">
        <is>
          <t>Цена пшеницы для фермера</t>
        </is>
      </c>
      <c r="C46" s="6" t="n">
        <v>3500000</v>
      </c>
      <c r="D46" t="inlineStr">
        <is>
          <t>сум/т</t>
        </is>
      </c>
      <c r="E46" t="inlineStr">
        <is>
          <t>ДОГАДКА</t>
        </is>
      </c>
      <c r="F46" s="5" t="inlineStr">
        <is>
          <t>С 2022 закупка по рыночным ценам; цифру 2026 не нашли.</t>
        </is>
      </c>
    </row>
    <row r="47">
      <c r="A47" t="inlineStr">
        <is>
          <t>wheat_yield_t_ha</t>
        </is>
      </c>
      <c r="B47" t="inlineStr">
        <is>
          <t>Урожайность пшеницы фермера</t>
        </is>
      </c>
      <c r="C47" s="4" t="n">
        <v>6.5</v>
      </c>
      <c r="D47" t="inlineStr">
        <is>
          <t>т/га</t>
        </is>
      </c>
      <c r="E47" t="inlineStr">
        <is>
          <t>ДОГАДКА</t>
        </is>
      </c>
      <c r="F47" s="5" t="inlineStr"/>
    </row>
    <row r="48">
      <c r="A48" t="inlineStr">
        <is>
          <t>ground_spread_cost_ha</t>
        </is>
      </c>
      <c r="B48" t="inlineStr">
        <is>
          <t>Альтернатива фермера: трактор/вручную</t>
        </is>
      </c>
      <c r="C48" s="6" t="n">
        <v>100000</v>
      </c>
      <c r="D48" t="inlineStr">
        <is>
          <t>сум/га</t>
        </is>
      </c>
      <c r="E48" t="inlineStr">
        <is>
          <t>ДОГАДКА</t>
        </is>
      </c>
      <c r="F48" s="5" t="inlineStr">
        <is>
          <t>Ориентир РФ (Татарстан): ~300 руб/га ~ 45 тыс. сум. Местные МТП -- уточнить.</t>
        </is>
      </c>
    </row>
    <row r="49">
      <c r="A49" s="2" t="n"/>
      <c r="B49" s="3" t="inlineStr">
        <is>
          <t>КАЛИБРОВКА ПО ЖИДКОЙ ОБРАБОТКЕ</t>
        </is>
      </c>
      <c r="C49" s="2" t="n"/>
      <c r="D49" s="2" t="n"/>
      <c r="E49" s="2" t="n"/>
      <c r="F49" s="2" t="n"/>
    </row>
    <row r="50">
      <c r="A50" t="inlineStr">
        <is>
          <t>liq_ha_per_flight</t>
        </is>
      </c>
      <c r="B50" t="inlineStr">
        <is>
          <t>Гектаров за вылет при опрыскивании</t>
        </is>
      </c>
      <c r="C50" s="4" t="n">
        <v>1.2</v>
      </c>
      <c r="D50" t="inlineStr">
        <is>
          <t>га</t>
        </is>
      </c>
      <c r="E50" t="inlineStr">
        <is>
          <t>ФАКТ</t>
        </is>
      </c>
      <c r="F50" s="5" t="inlineStr">
        <is>
          <t>Данные вылетов: 1,0-1,25 га за вылет, 27-41 л/га.</t>
        </is>
      </c>
    </row>
    <row r="51">
      <c r="A51" t="inlineStr">
        <is>
          <t>liq_flight_min</t>
        </is>
      </c>
      <c r="B51" t="inlineStr">
        <is>
          <t>Длительность вылета при опрыскивании</t>
        </is>
      </c>
      <c r="C51" s="4" t="n">
        <v>6.5</v>
      </c>
      <c r="D51" t="inlineStr">
        <is>
          <t>мин</t>
        </is>
      </c>
      <c r="E51" t="inlineStr">
        <is>
          <t>ОЦЕНКА</t>
        </is>
      </c>
      <c r="F51" s="5" t="inlineStr"/>
    </row>
    <row r="52">
      <c r="A52" t="inlineStr">
        <is>
          <t>liq_refill_min</t>
        </is>
      </c>
      <c r="B52" t="inlineStr">
        <is>
          <t>Заправка раствора и смена батареи</t>
        </is>
      </c>
      <c r="C52" s="4" t="n">
        <v>2.5</v>
      </c>
      <c r="D52" t="inlineStr">
        <is>
          <t>мин</t>
        </is>
      </c>
      <c r="E52" t="inlineStr">
        <is>
          <t>ДОГАДКА</t>
        </is>
      </c>
      <c r="F52" s="5" t="inlineStr"/>
    </row>
    <row r="53">
      <c r="A53" t="inlineStr">
        <is>
          <t>liq_cycle_equiv_min</t>
        </is>
      </c>
      <c r="B53" t="inlineStr">
        <is>
          <t>Минут полёта на цикл батареи (опрыскивание)</t>
        </is>
      </c>
      <c r="C53" s="4" t="n">
        <v>10</v>
      </c>
      <c r="D53" t="inlineStr">
        <is>
          <t>мин</t>
        </is>
      </c>
      <c r="E53" t="inlineStr">
        <is>
          <t>ОЦЕНКА</t>
        </is>
      </c>
      <c r="F53" s="5" t="inlineStr">
        <is>
          <t>DJI: 7 мин висения при 90 кг.</t>
        </is>
      </c>
    </row>
    <row r="54">
      <c r="A54" s="2" t="n"/>
      <c r="B54" s="3" t="inlineStr">
        <is>
          <t>СЕЗОН</t>
        </is>
      </c>
      <c r="C54" s="2" t="n"/>
      <c r="D54" s="2" t="n"/>
      <c r="E54" s="2" t="n"/>
      <c r="F54" s="2" t="n"/>
    </row>
    <row r="55">
      <c r="A55" t="inlineStr">
        <is>
          <t>drones_in_winter</t>
        </is>
      </c>
      <c r="B55" t="inlineStr">
        <is>
          <t>Бортов в зимней работе</t>
        </is>
      </c>
      <c r="C55" s="4" t="n">
        <v>5</v>
      </c>
      <c r="D55" t="inlineStr">
        <is>
          <t>шт</t>
        </is>
      </c>
      <c r="E55" t="inlineStr">
        <is>
          <t>РЕШЕНИЕ</t>
        </is>
      </c>
      <c r="F55" s="5" t="inlineStr">
        <is>
          <t>Из 15 в парке.</t>
        </is>
      </c>
    </row>
    <row r="56">
      <c r="A56" t="inlineStr">
        <is>
          <t>spreaders_owned</t>
        </is>
      </c>
      <c r="B56" t="inlineStr">
        <is>
          <t>Разбрасывателей уже есть</t>
        </is>
      </c>
      <c r="C56" s="4" t="n">
        <v>1</v>
      </c>
      <c r="D56" t="inlineStr">
        <is>
          <t>шт</t>
        </is>
      </c>
      <c r="E56" t="inlineStr">
        <is>
          <t>ФАКТ</t>
        </is>
      </c>
      <c r="F56" s="5" t="inlineStr">
        <is>
          <t>Один тестовый бак.</t>
        </is>
      </c>
    </row>
    <row r="57">
      <c r="A57" t="inlineStr">
        <is>
          <t>season_one_time_other</t>
        </is>
      </c>
      <c r="B57" t="inlineStr">
        <is>
          <t>Разовые расходы сезона (обучение, демо, оснастка загрузки)</t>
        </is>
      </c>
      <c r="C57" s="6" t="n">
        <v>20000000</v>
      </c>
      <c r="D57" t="inlineStr">
        <is>
          <t>сум</t>
        </is>
      </c>
      <c r="E57" t="inlineStr">
        <is>
          <t>ДОГАДКА</t>
        </is>
      </c>
      <c r="F57" s="5" t="inlineStr"/>
    </row>
    <row r="59">
      <c r="B59" s="5" t="inlineStr">
        <is>
          <t>Жёлтые ячейки -- входы. Всё остальное в книге считается из них. Тип: ФАКТ -- с источником; ОЦЕНКА -- вывод из фактов; ДОГАДКА -- не проверено; РЕШЕНИЕ -- задаёт владелец.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</cols>
  <sheetData>
    <row r="1" ht="48" customHeight="1">
      <c r="A1" s="3" t="inlineStr">
        <is>
          <t>Сценарий</t>
        </is>
      </c>
      <c r="B1" s="2" t="inlineStr"/>
      <c r="C1" s="8" t="inlineStr">
        <is>
          <t>База 100 кг/га</t>
        </is>
      </c>
      <c r="D1" s="8" t="inlineStr">
        <is>
          <t>База 150 кг/га (карбамид)</t>
        </is>
      </c>
      <c r="E1" s="8" t="inlineStr">
        <is>
          <t>База 200 кг/га</t>
        </is>
      </c>
      <c r="F1" s="8" t="inlineStr">
        <is>
          <t>База 250 кг/га (селитра)</t>
        </is>
      </c>
      <c r="G1" s="8" t="inlineStr">
        <is>
          <t>Пессимистичный 250</t>
        </is>
      </c>
      <c r="H1" s="8" t="inlineStr">
        <is>
          <t>Оптимистичный 250</t>
        </is>
      </c>
      <c r="I1" s="8" t="inlineStr">
        <is>
          <t>Маржинальный 250 (пилот на окладе)</t>
        </is>
      </c>
      <c r="J1" s="8" t="inlineStr">
        <is>
          <t>Пессимистичный 150</t>
        </is>
      </c>
      <c r="K1" s="8" t="inlineStr">
        <is>
          <t>Оптимистичный 150</t>
        </is>
      </c>
      <c r="L1" s="8" t="inlineStr">
        <is>
          <t>Чувств. 250: эффективные часы x0.80</t>
        </is>
      </c>
      <c r="M1" s="8" t="inlineStr">
        <is>
          <t>Чувств. 250: эффективные часы x1.20</t>
        </is>
      </c>
      <c r="N1" s="8" t="inlineStr">
        <is>
          <t>Чувств. 250: время загрузки x0.80</t>
        </is>
      </c>
      <c r="O1" s="8" t="inlineStr">
        <is>
          <t>Чувств. 250: время загрузки x1.20</t>
        </is>
      </c>
      <c r="P1" s="8" t="inlineStr">
        <is>
          <t>Чувств. 250: накладное время вылета x0.80</t>
        </is>
      </c>
      <c r="Q1" s="8" t="inlineStr">
        <is>
          <t>Чувств. 250: накладное время вылета x1.20</t>
        </is>
      </c>
      <c r="R1" s="8" t="inlineStr">
        <is>
          <t>Чувств. 250: полезная нагрузка x0.90</t>
        </is>
      </c>
      <c r="S1" s="8" t="inlineStr">
        <is>
          <t>Чувств. 250: полезная нагрузка x1.10</t>
        </is>
      </c>
      <c r="T1" s="8" t="inlineStr">
        <is>
          <t>Чувств. 250: цена батареи x0.80</t>
        </is>
      </c>
      <c r="U1" s="8" t="inlineStr">
        <is>
          <t>Чувств. 250: цена батареи x1.20</t>
        </is>
      </c>
      <c r="V1" s="8" t="inlineStr">
        <is>
          <t>Чувств. 250: оплата пилота x0.80</t>
        </is>
      </c>
      <c r="W1" s="8" t="inlineStr">
        <is>
          <t>Чувств. 250: оплата пилота x1.20</t>
        </is>
      </c>
      <c r="X1" s="8" t="inlineStr">
        <is>
          <t>Чувств. 250: цена бензина x0.80</t>
        </is>
      </c>
      <c r="Y1" s="8" t="inlineStr">
        <is>
          <t>Чувств. 250: цена бензина x1.20</t>
        </is>
      </c>
      <c r="Z1" s="8" t="inlineStr">
        <is>
          <t>Чувств. 250: ресурс батареи x0.80</t>
        </is>
      </c>
      <c r="AA1" s="8" t="inlineStr">
        <is>
          <t>Чувств. 250: ресурс батареи x1.20</t>
        </is>
      </c>
      <c r="AB1" s="8" t="inlineStr">
        <is>
          <t>Чувств. 250: рабочих дней в сезоне x0.80</t>
        </is>
      </c>
      <c r="AC1" s="8" t="inlineStr">
        <is>
          <t>Чувств. 250: рабочих дней в сезоне x1.20</t>
        </is>
      </c>
    </row>
    <row r="2">
      <c r="A2" t="inlineStr">
        <is>
          <t>Норма внесения</t>
        </is>
      </c>
      <c r="B2" t="inlineStr">
        <is>
          <t>кг/га</t>
        </is>
      </c>
      <c r="C2" s="4" t="n">
        <v>100</v>
      </c>
      <c r="D2" s="4" t="n">
        <v>150</v>
      </c>
      <c r="E2" s="4" t="n">
        <v>200</v>
      </c>
      <c r="F2" s="4" t="n">
        <v>250</v>
      </c>
      <c r="G2" s="4" t="n">
        <v>250</v>
      </c>
      <c r="H2" s="4" t="n">
        <v>250</v>
      </c>
      <c r="I2" s="4" t="n">
        <v>250</v>
      </c>
      <c r="J2" s="4" t="n">
        <v>150</v>
      </c>
      <c r="K2" s="4" t="n">
        <v>150</v>
      </c>
      <c r="L2" s="4" t="n">
        <v>250</v>
      </c>
      <c r="M2" s="4" t="n">
        <v>250</v>
      </c>
      <c r="N2" s="4" t="n">
        <v>250</v>
      </c>
      <c r="O2" s="4" t="n">
        <v>250</v>
      </c>
      <c r="P2" s="4" t="n">
        <v>250</v>
      </c>
      <c r="Q2" s="4" t="n">
        <v>250</v>
      </c>
      <c r="R2" s="4" t="n">
        <v>250</v>
      </c>
      <c r="S2" s="4" t="n">
        <v>250</v>
      </c>
      <c r="T2" s="4" t="n">
        <v>250</v>
      </c>
      <c r="U2" s="4" t="n">
        <v>250</v>
      </c>
      <c r="V2" s="4" t="n">
        <v>250</v>
      </c>
      <c r="W2" s="4" t="n">
        <v>250</v>
      </c>
      <c r="X2" s="4" t="n">
        <v>250</v>
      </c>
      <c r="Y2" s="4" t="n">
        <v>250</v>
      </c>
      <c r="Z2" s="4" t="n">
        <v>250</v>
      </c>
      <c r="AA2" s="4" t="n">
        <v>250</v>
      </c>
      <c r="AB2" s="4" t="n">
        <v>250</v>
      </c>
      <c r="AC2" s="4" t="n">
        <v>250</v>
      </c>
    </row>
    <row r="3">
      <c r="A3" t="inlineStr">
        <is>
          <t>Множитель: эффективные часы</t>
        </is>
      </c>
      <c r="B3" t="inlineStr">
        <is>
          <t>x</t>
        </is>
      </c>
      <c r="C3" s="7" t="n">
        <v>1</v>
      </c>
      <c r="D3" s="7" t="n">
        <v>1</v>
      </c>
      <c r="E3" s="7" t="n">
        <v>1</v>
      </c>
      <c r="F3" s="7" t="n">
        <v>1</v>
      </c>
      <c r="G3" s="7" t="n">
        <v>0.6666666666666666</v>
      </c>
      <c r="H3" s="7" t="n">
        <v>1.5</v>
      </c>
      <c r="I3" s="7" t="n">
        <v>1</v>
      </c>
      <c r="J3" s="7" t="n">
        <v>0.6666666666666666</v>
      </c>
      <c r="K3" s="7" t="n">
        <v>1.5</v>
      </c>
      <c r="L3" s="7" t="n">
        <v>0.8</v>
      </c>
      <c r="M3" s="7" t="n">
        <v>1.2</v>
      </c>
      <c r="N3" s="7" t="n">
        <v>1</v>
      </c>
      <c r="O3" s="7" t="n">
        <v>1</v>
      </c>
      <c r="P3" s="7" t="n">
        <v>1</v>
      </c>
      <c r="Q3" s="7" t="n">
        <v>1</v>
      </c>
      <c r="R3" s="7" t="n">
        <v>1</v>
      </c>
      <c r="S3" s="7" t="n">
        <v>1</v>
      </c>
      <c r="T3" s="7" t="n">
        <v>1</v>
      </c>
      <c r="U3" s="7" t="n">
        <v>1</v>
      </c>
      <c r="V3" s="7" t="n">
        <v>1</v>
      </c>
      <c r="W3" s="7" t="n">
        <v>1</v>
      </c>
      <c r="X3" s="7" t="n">
        <v>1</v>
      </c>
      <c r="Y3" s="7" t="n">
        <v>1</v>
      </c>
      <c r="Z3" s="7" t="n">
        <v>1</v>
      </c>
      <c r="AA3" s="7" t="n">
        <v>1</v>
      </c>
      <c r="AB3" s="7" t="n">
        <v>1</v>
      </c>
      <c r="AC3" s="7" t="n">
        <v>1</v>
      </c>
    </row>
    <row r="4">
      <c r="A4" t="inlineStr">
        <is>
          <t>Множитель: время загрузки</t>
        </is>
      </c>
      <c r="B4" t="inlineStr">
        <is>
          <t>x</t>
        </is>
      </c>
      <c r="C4" s="7" t="n">
        <v>1</v>
      </c>
      <c r="D4" s="7" t="n">
        <v>1</v>
      </c>
      <c r="E4" s="7" t="n">
        <v>1</v>
      </c>
      <c r="F4" s="7" t="n">
        <v>1</v>
      </c>
      <c r="G4" s="7" t="n">
        <v>2</v>
      </c>
      <c r="H4" s="7" t="n">
        <v>0.6666666666666666</v>
      </c>
      <c r="I4" s="7" t="n">
        <v>1</v>
      </c>
      <c r="J4" s="7" t="n">
        <v>2</v>
      </c>
      <c r="K4" s="7" t="n">
        <v>0.6666666666666666</v>
      </c>
      <c r="L4" s="7" t="n">
        <v>1</v>
      </c>
      <c r="M4" s="7" t="n">
        <v>1</v>
      </c>
      <c r="N4" s="7" t="n">
        <v>0.8</v>
      </c>
      <c r="O4" s="7" t="n">
        <v>1.2</v>
      </c>
      <c r="P4" s="7" t="n">
        <v>1</v>
      </c>
      <c r="Q4" s="7" t="n">
        <v>1</v>
      </c>
      <c r="R4" s="7" t="n">
        <v>1</v>
      </c>
      <c r="S4" s="7" t="n">
        <v>1</v>
      </c>
      <c r="T4" s="7" t="n">
        <v>1</v>
      </c>
      <c r="U4" s="7" t="n">
        <v>1</v>
      </c>
      <c r="V4" s="7" t="n">
        <v>1</v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7" t="n">
        <v>1</v>
      </c>
      <c r="AC4" s="7" t="n">
        <v>1</v>
      </c>
    </row>
    <row r="5">
      <c r="A5" t="inlineStr">
        <is>
          <t>Множитель: накладное время вылета</t>
        </is>
      </c>
      <c r="B5" t="inlineStr">
        <is>
          <t>x</t>
        </is>
      </c>
      <c r="C5" s="7" t="n">
        <v>1</v>
      </c>
      <c r="D5" s="7" t="n">
        <v>1</v>
      </c>
      <c r="E5" s="7" t="n">
        <v>1</v>
      </c>
      <c r="F5" s="7" t="n">
        <v>1</v>
      </c>
      <c r="G5" s="7" t="n">
        <v>1.333333333333333</v>
      </c>
      <c r="H5" s="7" t="n">
        <v>0.8</v>
      </c>
      <c r="I5" s="7" t="n">
        <v>1</v>
      </c>
      <c r="J5" s="7" t="n">
        <v>1.333333333333333</v>
      </c>
      <c r="K5" s="7" t="n">
        <v>0.8</v>
      </c>
      <c r="L5" s="7" t="n">
        <v>1</v>
      </c>
      <c r="M5" s="7" t="n">
        <v>1</v>
      </c>
      <c r="N5" s="7" t="n">
        <v>1</v>
      </c>
      <c r="O5" s="7" t="n">
        <v>1</v>
      </c>
      <c r="P5" s="7" t="n">
        <v>0.8</v>
      </c>
      <c r="Q5" s="7" t="n">
        <v>1.2</v>
      </c>
      <c r="R5" s="7" t="n">
        <v>1</v>
      </c>
      <c r="S5" s="7" t="n">
        <v>1</v>
      </c>
      <c r="T5" s="7" t="n">
        <v>1</v>
      </c>
      <c r="U5" s="7" t="n">
        <v>1</v>
      </c>
      <c r="V5" s="7" t="n">
        <v>1</v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7" t="n">
        <v>1</v>
      </c>
      <c r="AC5" s="7" t="n">
        <v>1</v>
      </c>
    </row>
    <row r="6">
      <c r="A6" t="inlineStr">
        <is>
          <t>Множитель: полезная нагрузка</t>
        </is>
      </c>
      <c r="B6" t="inlineStr">
        <is>
          <t>x</t>
        </is>
      </c>
      <c r="C6" s="7" t="n">
        <v>1</v>
      </c>
      <c r="D6" s="7" t="n">
        <v>1</v>
      </c>
      <c r="E6" s="7" t="n">
        <v>1</v>
      </c>
      <c r="F6" s="7" t="n">
        <v>1</v>
      </c>
      <c r="G6" s="7" t="n">
        <v>0.8888888888888888</v>
      </c>
      <c r="H6" s="7" t="n">
        <v>1.111111111111111</v>
      </c>
      <c r="I6" s="7" t="n">
        <v>1</v>
      </c>
      <c r="J6" s="7" t="n">
        <v>0.8888888888888888</v>
      </c>
      <c r="K6" s="7" t="n">
        <v>1.111111111111111</v>
      </c>
      <c r="L6" s="7" t="n">
        <v>1</v>
      </c>
      <c r="M6" s="7" t="n">
        <v>1</v>
      </c>
      <c r="N6" s="7" t="n">
        <v>1</v>
      </c>
      <c r="O6" s="7" t="n">
        <v>1</v>
      </c>
      <c r="P6" s="7" t="n">
        <v>1</v>
      </c>
      <c r="Q6" s="7" t="n">
        <v>1</v>
      </c>
      <c r="R6" s="7" t="n">
        <v>0.9</v>
      </c>
      <c r="S6" s="7" t="n">
        <v>1.1</v>
      </c>
      <c r="T6" s="7" t="n">
        <v>1</v>
      </c>
      <c r="U6" s="7" t="n">
        <v>1</v>
      </c>
      <c r="V6" s="7" t="n">
        <v>1</v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7" t="n">
        <v>1</v>
      </c>
      <c r="AC6" s="7" t="n">
        <v>1</v>
      </c>
    </row>
    <row r="7">
      <c r="A7" t="inlineStr">
        <is>
          <t>Множитель: цена батареи</t>
        </is>
      </c>
      <c r="B7" t="inlineStr">
        <is>
          <t>x</t>
        </is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7" t="n">
        <v>1</v>
      </c>
      <c r="L7" s="7" t="n">
        <v>1</v>
      </c>
      <c r="M7" s="7" t="n">
        <v>1</v>
      </c>
      <c r="N7" s="7" t="n">
        <v>1</v>
      </c>
      <c r="O7" s="7" t="n">
        <v>1</v>
      </c>
      <c r="P7" s="7" t="n">
        <v>1</v>
      </c>
      <c r="Q7" s="7" t="n">
        <v>1</v>
      </c>
      <c r="R7" s="7" t="n">
        <v>1</v>
      </c>
      <c r="S7" s="7" t="n">
        <v>1</v>
      </c>
      <c r="T7" s="7" t="n">
        <v>0.8</v>
      </c>
      <c r="U7" s="7" t="n">
        <v>1.2</v>
      </c>
      <c r="V7" s="7" t="n">
        <v>1</v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7" t="n">
        <v>1</v>
      </c>
      <c r="AC7" s="7" t="n">
        <v>1</v>
      </c>
    </row>
    <row r="8">
      <c r="A8" t="inlineStr">
        <is>
          <t>Множитель: оплата пилота</t>
        </is>
      </c>
      <c r="B8" t="inlineStr">
        <is>
          <t>x</t>
        </is>
      </c>
      <c r="C8" s="7" t="n">
        <v>1</v>
      </c>
      <c r="D8" s="7" t="n">
        <v>1</v>
      </c>
      <c r="E8" s="7" t="n">
        <v>1</v>
      </c>
      <c r="F8" s="7" t="n">
        <v>1</v>
      </c>
      <c r="G8" s="7" t="n">
        <v>1</v>
      </c>
      <c r="H8" s="7" t="n">
        <v>1</v>
      </c>
      <c r="I8" s="7" t="n">
        <v>0.4</v>
      </c>
      <c r="J8" s="7" t="n">
        <v>1</v>
      </c>
      <c r="K8" s="7" t="n">
        <v>1</v>
      </c>
      <c r="L8" s="7" t="n">
        <v>1</v>
      </c>
      <c r="M8" s="7" t="n">
        <v>1</v>
      </c>
      <c r="N8" s="7" t="n">
        <v>1</v>
      </c>
      <c r="O8" s="7" t="n">
        <v>1</v>
      </c>
      <c r="P8" s="7" t="n">
        <v>1</v>
      </c>
      <c r="Q8" s="7" t="n">
        <v>1</v>
      </c>
      <c r="R8" s="7" t="n">
        <v>1</v>
      </c>
      <c r="S8" s="7" t="n">
        <v>1</v>
      </c>
      <c r="T8" s="7" t="n">
        <v>1</v>
      </c>
      <c r="U8" s="7" t="n">
        <v>1</v>
      </c>
      <c r="V8" s="7" t="n">
        <v>0.8</v>
      </c>
      <c r="W8" s="7" t="n">
        <v>1.2</v>
      </c>
      <c r="X8" s="7" t="n">
        <v>1</v>
      </c>
      <c r="Y8" s="7" t="n">
        <v>1</v>
      </c>
      <c r="Z8" s="7" t="n">
        <v>1</v>
      </c>
      <c r="AA8" s="7" t="n">
        <v>1</v>
      </c>
      <c r="AB8" s="7" t="n">
        <v>1</v>
      </c>
      <c r="AC8" s="7" t="n">
        <v>1</v>
      </c>
    </row>
    <row r="9">
      <c r="A9" t="inlineStr">
        <is>
          <t>Множитель: цена бензина</t>
        </is>
      </c>
      <c r="B9" t="inlineStr">
        <is>
          <t>x</t>
        </is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1</v>
      </c>
      <c r="H9" s="7" t="n">
        <v>1</v>
      </c>
      <c r="I9" s="7" t="n">
        <v>1</v>
      </c>
      <c r="J9" s="7" t="n">
        <v>1</v>
      </c>
      <c r="K9" s="7" t="n">
        <v>1</v>
      </c>
      <c r="L9" s="7" t="n">
        <v>1</v>
      </c>
      <c r="M9" s="7" t="n">
        <v>1</v>
      </c>
      <c r="N9" s="7" t="n">
        <v>1</v>
      </c>
      <c r="O9" s="7" t="n">
        <v>1</v>
      </c>
      <c r="P9" s="7" t="n">
        <v>1</v>
      </c>
      <c r="Q9" s="7" t="n">
        <v>1</v>
      </c>
      <c r="R9" s="7" t="n">
        <v>1</v>
      </c>
      <c r="S9" s="7" t="n">
        <v>1</v>
      </c>
      <c r="T9" s="7" t="n">
        <v>1</v>
      </c>
      <c r="U9" s="7" t="n">
        <v>1</v>
      </c>
      <c r="V9" s="7" t="n">
        <v>1</v>
      </c>
      <c r="W9" s="7" t="n">
        <v>1</v>
      </c>
      <c r="X9" s="7" t="n">
        <v>0.8</v>
      </c>
      <c r="Y9" s="7" t="n">
        <v>1.2</v>
      </c>
      <c r="Z9" s="7" t="n">
        <v>1</v>
      </c>
      <c r="AA9" s="7" t="n">
        <v>1</v>
      </c>
      <c r="AB9" s="7" t="n">
        <v>1</v>
      </c>
      <c r="AC9" s="7" t="n">
        <v>1</v>
      </c>
    </row>
    <row r="10">
      <c r="A10" t="inlineStr">
        <is>
          <t>Множитель: ресурс батареи</t>
        </is>
      </c>
      <c r="B10" t="inlineStr">
        <is>
          <t>x</t>
        </is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>
        <v>1</v>
      </c>
      <c r="I10" s="7" t="n">
        <v>1</v>
      </c>
      <c r="J10" s="7" t="n">
        <v>1</v>
      </c>
      <c r="K10" s="7" t="n">
        <v>1</v>
      </c>
      <c r="L10" s="7" t="n">
        <v>1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1</v>
      </c>
      <c r="R10" s="7" t="n">
        <v>1</v>
      </c>
      <c r="S10" s="7" t="n">
        <v>1</v>
      </c>
      <c r="T10" s="7" t="n">
        <v>1</v>
      </c>
      <c r="U10" s="7" t="n">
        <v>1</v>
      </c>
      <c r="V10" s="7" t="n">
        <v>1</v>
      </c>
      <c r="W10" s="7" t="n">
        <v>1</v>
      </c>
      <c r="X10" s="7" t="n">
        <v>1</v>
      </c>
      <c r="Y10" s="7" t="n">
        <v>1</v>
      </c>
      <c r="Z10" s="7" t="n">
        <v>0.8</v>
      </c>
      <c r="AA10" s="7" t="n">
        <v>1.2</v>
      </c>
      <c r="AB10" s="7" t="n">
        <v>1</v>
      </c>
      <c r="AC10" s="7" t="n">
        <v>1</v>
      </c>
    </row>
    <row r="11">
      <c r="A11" t="inlineStr">
        <is>
          <t>Множитель: рабочих дней в сезоне</t>
        </is>
      </c>
      <c r="B11" t="inlineStr">
        <is>
          <t>x</t>
        </is>
      </c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>
        <v>1</v>
      </c>
      <c r="I11" s="7" t="n">
        <v>1</v>
      </c>
      <c r="J11" s="7" t="n">
        <v>1</v>
      </c>
      <c r="K11" s="7" t="n">
        <v>1</v>
      </c>
      <c r="L11" s="7" t="n">
        <v>1</v>
      </c>
      <c r="M11" s="7" t="n">
        <v>1</v>
      </c>
      <c r="N11" s="7" t="n">
        <v>1</v>
      </c>
      <c r="O11" s="7" t="n">
        <v>1</v>
      </c>
      <c r="P11" s="7" t="n">
        <v>1</v>
      </c>
      <c r="Q11" s="7" t="n">
        <v>1</v>
      </c>
      <c r="R11" s="7" t="n">
        <v>1</v>
      </c>
      <c r="S11" s="7" t="n">
        <v>1</v>
      </c>
      <c r="T11" s="7" t="n">
        <v>1</v>
      </c>
      <c r="U11" s="7" t="n">
        <v>1</v>
      </c>
      <c r="V11" s="7" t="n">
        <v>1</v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7" t="n">
        <v>0.8</v>
      </c>
      <c r="AC11" s="7" t="n">
        <v>1.2</v>
      </c>
    </row>
    <row r="12">
      <c r="A12" t="inlineStr">
        <is>
          <t>Множитель: ширина захвата</t>
        </is>
      </c>
      <c r="B12" t="inlineStr">
        <is>
          <t>x</t>
        </is>
      </c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>
        <v>1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  <c r="P12" s="7" t="n">
        <v>1</v>
      </c>
      <c r="Q12" s="7" t="n">
        <v>1</v>
      </c>
      <c r="R12" s="7" t="n">
        <v>1</v>
      </c>
      <c r="S12" s="7" t="n">
        <v>1</v>
      </c>
      <c r="T12" s="7" t="n">
        <v>1</v>
      </c>
      <c r="U12" s="7" t="n">
        <v>1</v>
      </c>
      <c r="V12" s="7" t="n">
        <v>1</v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7" t="n">
        <v>1</v>
      </c>
      <c r="AC12" s="7" t="n">
        <v>1</v>
      </c>
    </row>
    <row r="13">
      <c r="A13" t="inlineStr">
        <is>
          <t>Множитель: скорость</t>
        </is>
      </c>
      <c r="B13" t="inlineStr">
        <is>
          <t>x</t>
        </is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1</v>
      </c>
      <c r="Q13" s="7" t="n">
        <v>1</v>
      </c>
      <c r="R13" s="7" t="n">
        <v>1</v>
      </c>
      <c r="S13" s="7" t="n">
        <v>1</v>
      </c>
      <c r="T13" s="7" t="n">
        <v>1</v>
      </c>
      <c r="U13" s="7" t="n">
        <v>1</v>
      </c>
      <c r="V13" s="7" t="n">
        <v>1</v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7" t="n">
        <v>1</v>
      </c>
      <c r="AC13" s="7" t="n">
        <v>1</v>
      </c>
    </row>
    <row r="14">
      <c r="A14" s="3" t="inlineStr">
        <is>
          <t>ДЕЙСТВУЮЩИЕ ВХОДЫ СЦЕНАРИЯ</t>
        </is>
      </c>
      <c r="B14" s="2" t="inlineStr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</row>
    <row r="15">
      <c r="A15" t="inlineStr">
        <is>
          <t>Полезная нагрузка</t>
        </is>
      </c>
      <c r="B15" t="inlineStr">
        <is>
          <t>кг</t>
        </is>
      </c>
      <c r="C15" s="9">
        <f>payload_kg*C6</f>
        <v/>
      </c>
      <c r="D15" s="9">
        <f>payload_kg*D6</f>
        <v/>
      </c>
      <c r="E15" s="9">
        <f>payload_kg*E6</f>
        <v/>
      </c>
      <c r="F15" s="9">
        <f>payload_kg*F6</f>
        <v/>
      </c>
      <c r="G15" s="9">
        <f>payload_kg*G6</f>
        <v/>
      </c>
      <c r="H15" s="9">
        <f>payload_kg*H6</f>
        <v/>
      </c>
      <c r="I15" s="9">
        <f>payload_kg*I6</f>
        <v/>
      </c>
      <c r="J15" s="9">
        <f>payload_kg*J6</f>
        <v/>
      </c>
      <c r="K15" s="9">
        <f>payload_kg*K6</f>
        <v/>
      </c>
      <c r="L15" s="9">
        <f>payload_kg*L6</f>
        <v/>
      </c>
      <c r="M15" s="9">
        <f>payload_kg*M6</f>
        <v/>
      </c>
      <c r="N15" s="9">
        <f>payload_kg*N6</f>
        <v/>
      </c>
      <c r="O15" s="9">
        <f>payload_kg*O6</f>
        <v/>
      </c>
      <c r="P15" s="9">
        <f>payload_kg*P6</f>
        <v/>
      </c>
      <c r="Q15" s="9">
        <f>payload_kg*Q6</f>
        <v/>
      </c>
      <c r="R15" s="9">
        <f>payload_kg*R6</f>
        <v/>
      </c>
      <c r="S15" s="9">
        <f>payload_kg*S6</f>
        <v/>
      </c>
      <c r="T15" s="9">
        <f>payload_kg*T6</f>
        <v/>
      </c>
      <c r="U15" s="9">
        <f>payload_kg*U6</f>
        <v/>
      </c>
      <c r="V15" s="9">
        <f>payload_kg*V6</f>
        <v/>
      </c>
      <c r="W15" s="9">
        <f>payload_kg*W6</f>
        <v/>
      </c>
      <c r="X15" s="9">
        <f>payload_kg*X6</f>
        <v/>
      </c>
      <c r="Y15" s="9">
        <f>payload_kg*Y6</f>
        <v/>
      </c>
      <c r="Z15" s="9">
        <f>payload_kg*Z6</f>
        <v/>
      </c>
      <c r="AA15" s="9">
        <f>payload_kg*AA6</f>
        <v/>
      </c>
      <c r="AB15" s="9">
        <f>payload_kg*AB6</f>
        <v/>
      </c>
      <c r="AC15" s="9">
        <f>payload_kg*AC6</f>
        <v/>
      </c>
    </row>
    <row r="16">
      <c r="A16" t="inlineStr">
        <is>
          <t>Эффективное лётное время</t>
        </is>
      </c>
      <c r="B16" t="inlineStr">
        <is>
          <t>ч/день</t>
        </is>
      </c>
      <c r="C16" s="9">
        <f>eff_hours_per_day*C3</f>
        <v/>
      </c>
      <c r="D16" s="9">
        <f>eff_hours_per_day*D3</f>
        <v/>
      </c>
      <c r="E16" s="9">
        <f>eff_hours_per_day*E3</f>
        <v/>
      </c>
      <c r="F16" s="9">
        <f>eff_hours_per_day*F3</f>
        <v/>
      </c>
      <c r="G16" s="9">
        <f>eff_hours_per_day*G3</f>
        <v/>
      </c>
      <c r="H16" s="9">
        <f>eff_hours_per_day*H3</f>
        <v/>
      </c>
      <c r="I16" s="9">
        <f>eff_hours_per_day*I3</f>
        <v/>
      </c>
      <c r="J16" s="9">
        <f>eff_hours_per_day*J3</f>
        <v/>
      </c>
      <c r="K16" s="9">
        <f>eff_hours_per_day*K3</f>
        <v/>
      </c>
      <c r="L16" s="9">
        <f>eff_hours_per_day*L3</f>
        <v/>
      </c>
      <c r="M16" s="9">
        <f>eff_hours_per_day*M3</f>
        <v/>
      </c>
      <c r="N16" s="9">
        <f>eff_hours_per_day*N3</f>
        <v/>
      </c>
      <c r="O16" s="9">
        <f>eff_hours_per_day*O3</f>
        <v/>
      </c>
      <c r="P16" s="9">
        <f>eff_hours_per_day*P3</f>
        <v/>
      </c>
      <c r="Q16" s="9">
        <f>eff_hours_per_day*Q3</f>
        <v/>
      </c>
      <c r="R16" s="9">
        <f>eff_hours_per_day*R3</f>
        <v/>
      </c>
      <c r="S16" s="9">
        <f>eff_hours_per_day*S3</f>
        <v/>
      </c>
      <c r="T16" s="9">
        <f>eff_hours_per_day*T3</f>
        <v/>
      </c>
      <c r="U16" s="9">
        <f>eff_hours_per_day*U3</f>
        <v/>
      </c>
      <c r="V16" s="9">
        <f>eff_hours_per_day*V3</f>
        <v/>
      </c>
      <c r="W16" s="9">
        <f>eff_hours_per_day*W3</f>
        <v/>
      </c>
      <c r="X16" s="9">
        <f>eff_hours_per_day*X3</f>
        <v/>
      </c>
      <c r="Y16" s="9">
        <f>eff_hours_per_day*Y3</f>
        <v/>
      </c>
      <c r="Z16" s="9">
        <f>eff_hours_per_day*Z3</f>
        <v/>
      </c>
      <c r="AA16" s="9">
        <f>eff_hours_per_day*AA3</f>
        <v/>
      </c>
      <c r="AB16" s="9">
        <f>eff_hours_per_day*AB3</f>
        <v/>
      </c>
      <c r="AC16" s="9">
        <f>eff_hours_per_day*AC3</f>
        <v/>
      </c>
    </row>
    <row r="17">
      <c r="A17" t="inlineStr">
        <is>
          <t>Загрузка и смена батареи</t>
        </is>
      </c>
      <c r="B17" t="inlineStr">
        <is>
          <t>мин</t>
        </is>
      </c>
      <c r="C17" s="9">
        <f>reload_min*C4</f>
        <v/>
      </c>
      <c r="D17" s="9">
        <f>reload_min*D4</f>
        <v/>
      </c>
      <c r="E17" s="9">
        <f>reload_min*E4</f>
        <v/>
      </c>
      <c r="F17" s="9">
        <f>reload_min*F4</f>
        <v/>
      </c>
      <c r="G17" s="9">
        <f>reload_min*G4</f>
        <v/>
      </c>
      <c r="H17" s="9">
        <f>reload_min*H4</f>
        <v/>
      </c>
      <c r="I17" s="9">
        <f>reload_min*I4</f>
        <v/>
      </c>
      <c r="J17" s="9">
        <f>reload_min*J4</f>
        <v/>
      </c>
      <c r="K17" s="9">
        <f>reload_min*K4</f>
        <v/>
      </c>
      <c r="L17" s="9">
        <f>reload_min*L4</f>
        <v/>
      </c>
      <c r="M17" s="9">
        <f>reload_min*M4</f>
        <v/>
      </c>
      <c r="N17" s="9">
        <f>reload_min*N4</f>
        <v/>
      </c>
      <c r="O17" s="9">
        <f>reload_min*O4</f>
        <v/>
      </c>
      <c r="P17" s="9">
        <f>reload_min*P4</f>
        <v/>
      </c>
      <c r="Q17" s="9">
        <f>reload_min*Q4</f>
        <v/>
      </c>
      <c r="R17" s="9">
        <f>reload_min*R4</f>
        <v/>
      </c>
      <c r="S17" s="9">
        <f>reload_min*S4</f>
        <v/>
      </c>
      <c r="T17" s="9">
        <f>reload_min*T4</f>
        <v/>
      </c>
      <c r="U17" s="9">
        <f>reload_min*U4</f>
        <v/>
      </c>
      <c r="V17" s="9">
        <f>reload_min*V4</f>
        <v/>
      </c>
      <c r="W17" s="9">
        <f>reload_min*W4</f>
        <v/>
      </c>
      <c r="X17" s="9">
        <f>reload_min*X4</f>
        <v/>
      </c>
      <c r="Y17" s="9">
        <f>reload_min*Y4</f>
        <v/>
      </c>
      <c r="Z17" s="9">
        <f>reload_min*Z4</f>
        <v/>
      </c>
      <c r="AA17" s="9">
        <f>reload_min*AA4</f>
        <v/>
      </c>
      <c r="AB17" s="9">
        <f>reload_min*AB4</f>
        <v/>
      </c>
      <c r="AC17" s="9">
        <f>reload_min*AC4</f>
        <v/>
      </c>
    </row>
    <row r="18">
      <c r="A18" t="inlineStr">
        <is>
          <t>Накладное время вылета</t>
        </is>
      </c>
      <c r="B18" t="inlineStr">
        <is>
          <t>мин</t>
        </is>
      </c>
      <c r="C18" s="9">
        <f>overhead_min*C5</f>
        <v/>
      </c>
      <c r="D18" s="9">
        <f>overhead_min*D5</f>
        <v/>
      </c>
      <c r="E18" s="9">
        <f>overhead_min*E5</f>
        <v/>
      </c>
      <c r="F18" s="9">
        <f>overhead_min*F5</f>
        <v/>
      </c>
      <c r="G18" s="9">
        <f>overhead_min*G5</f>
        <v/>
      </c>
      <c r="H18" s="9">
        <f>overhead_min*H5</f>
        <v/>
      </c>
      <c r="I18" s="9">
        <f>overhead_min*I5</f>
        <v/>
      </c>
      <c r="J18" s="9">
        <f>overhead_min*J5</f>
        <v/>
      </c>
      <c r="K18" s="9">
        <f>overhead_min*K5</f>
        <v/>
      </c>
      <c r="L18" s="9">
        <f>overhead_min*L5</f>
        <v/>
      </c>
      <c r="M18" s="9">
        <f>overhead_min*M5</f>
        <v/>
      </c>
      <c r="N18" s="9">
        <f>overhead_min*N5</f>
        <v/>
      </c>
      <c r="O18" s="9">
        <f>overhead_min*O5</f>
        <v/>
      </c>
      <c r="P18" s="9">
        <f>overhead_min*P5</f>
        <v/>
      </c>
      <c r="Q18" s="9">
        <f>overhead_min*Q5</f>
        <v/>
      </c>
      <c r="R18" s="9">
        <f>overhead_min*R5</f>
        <v/>
      </c>
      <c r="S18" s="9">
        <f>overhead_min*S5</f>
        <v/>
      </c>
      <c r="T18" s="9">
        <f>overhead_min*T5</f>
        <v/>
      </c>
      <c r="U18" s="9">
        <f>overhead_min*U5</f>
        <v/>
      </c>
      <c r="V18" s="9">
        <f>overhead_min*V5</f>
        <v/>
      </c>
      <c r="W18" s="9">
        <f>overhead_min*W5</f>
        <v/>
      </c>
      <c r="X18" s="9">
        <f>overhead_min*X5</f>
        <v/>
      </c>
      <c r="Y18" s="9">
        <f>overhead_min*Y5</f>
        <v/>
      </c>
      <c r="Z18" s="9">
        <f>overhead_min*Z5</f>
        <v/>
      </c>
      <c r="AA18" s="9">
        <f>overhead_min*AA5</f>
        <v/>
      </c>
      <c r="AB18" s="9">
        <f>overhead_min*AB5</f>
        <v/>
      </c>
      <c r="AC18" s="9">
        <f>overhead_min*AC5</f>
        <v/>
      </c>
    </row>
    <row r="19">
      <c r="A19" t="inlineStr">
        <is>
          <t>Цена батареи</t>
        </is>
      </c>
      <c r="B19" t="inlineStr">
        <is>
          <t>USD</t>
        </is>
      </c>
      <c r="C19" s="10">
        <f>battery_price_usd*C7</f>
        <v/>
      </c>
      <c r="D19" s="10">
        <f>battery_price_usd*D7</f>
        <v/>
      </c>
      <c r="E19" s="10">
        <f>battery_price_usd*E7</f>
        <v/>
      </c>
      <c r="F19" s="10">
        <f>battery_price_usd*F7</f>
        <v/>
      </c>
      <c r="G19" s="10">
        <f>battery_price_usd*G7</f>
        <v/>
      </c>
      <c r="H19" s="10">
        <f>battery_price_usd*H7</f>
        <v/>
      </c>
      <c r="I19" s="10">
        <f>battery_price_usd*I7</f>
        <v/>
      </c>
      <c r="J19" s="10">
        <f>battery_price_usd*J7</f>
        <v/>
      </c>
      <c r="K19" s="10">
        <f>battery_price_usd*K7</f>
        <v/>
      </c>
      <c r="L19" s="10">
        <f>battery_price_usd*L7</f>
        <v/>
      </c>
      <c r="M19" s="10">
        <f>battery_price_usd*M7</f>
        <v/>
      </c>
      <c r="N19" s="10">
        <f>battery_price_usd*N7</f>
        <v/>
      </c>
      <c r="O19" s="10">
        <f>battery_price_usd*O7</f>
        <v/>
      </c>
      <c r="P19" s="10">
        <f>battery_price_usd*P7</f>
        <v/>
      </c>
      <c r="Q19" s="10">
        <f>battery_price_usd*Q7</f>
        <v/>
      </c>
      <c r="R19" s="10">
        <f>battery_price_usd*R7</f>
        <v/>
      </c>
      <c r="S19" s="10">
        <f>battery_price_usd*S7</f>
        <v/>
      </c>
      <c r="T19" s="10">
        <f>battery_price_usd*T7</f>
        <v/>
      </c>
      <c r="U19" s="10">
        <f>battery_price_usd*U7</f>
        <v/>
      </c>
      <c r="V19" s="10">
        <f>battery_price_usd*V7</f>
        <v/>
      </c>
      <c r="W19" s="10">
        <f>battery_price_usd*W7</f>
        <v/>
      </c>
      <c r="X19" s="10">
        <f>battery_price_usd*X7</f>
        <v/>
      </c>
      <c r="Y19" s="10">
        <f>battery_price_usd*Y7</f>
        <v/>
      </c>
      <c r="Z19" s="10">
        <f>battery_price_usd*Z7</f>
        <v/>
      </c>
      <c r="AA19" s="10">
        <f>battery_price_usd*AA7</f>
        <v/>
      </c>
      <c r="AB19" s="10">
        <f>battery_price_usd*AB7</f>
        <v/>
      </c>
      <c r="AC19" s="10">
        <f>battery_price_usd*AC7</f>
        <v/>
      </c>
    </row>
    <row r="20">
      <c r="A20" t="inlineStr">
        <is>
          <t>Оплата пилота</t>
        </is>
      </c>
      <c r="B20" t="inlineStr">
        <is>
          <t>сум/день</t>
        </is>
      </c>
      <c r="C20" s="10">
        <f>pilot_day*C8</f>
        <v/>
      </c>
      <c r="D20" s="10">
        <f>pilot_day*D8</f>
        <v/>
      </c>
      <c r="E20" s="10">
        <f>pilot_day*E8</f>
        <v/>
      </c>
      <c r="F20" s="10">
        <f>pilot_day*F8</f>
        <v/>
      </c>
      <c r="G20" s="10">
        <f>pilot_day*G8</f>
        <v/>
      </c>
      <c r="H20" s="10">
        <f>pilot_day*H8</f>
        <v/>
      </c>
      <c r="I20" s="10">
        <f>pilot_day*I8</f>
        <v/>
      </c>
      <c r="J20" s="10">
        <f>pilot_day*J8</f>
        <v/>
      </c>
      <c r="K20" s="10">
        <f>pilot_day*K8</f>
        <v/>
      </c>
      <c r="L20" s="10">
        <f>pilot_day*L8</f>
        <v/>
      </c>
      <c r="M20" s="10">
        <f>pilot_day*M8</f>
        <v/>
      </c>
      <c r="N20" s="10">
        <f>pilot_day*N8</f>
        <v/>
      </c>
      <c r="O20" s="10">
        <f>pilot_day*O8</f>
        <v/>
      </c>
      <c r="P20" s="10">
        <f>pilot_day*P8</f>
        <v/>
      </c>
      <c r="Q20" s="10">
        <f>pilot_day*Q8</f>
        <v/>
      </c>
      <c r="R20" s="10">
        <f>pilot_day*R8</f>
        <v/>
      </c>
      <c r="S20" s="10">
        <f>pilot_day*S8</f>
        <v/>
      </c>
      <c r="T20" s="10">
        <f>pilot_day*T8</f>
        <v/>
      </c>
      <c r="U20" s="10">
        <f>pilot_day*U8</f>
        <v/>
      </c>
      <c r="V20" s="10">
        <f>pilot_day*V8</f>
        <v/>
      </c>
      <c r="W20" s="10">
        <f>pilot_day*W8</f>
        <v/>
      </c>
      <c r="X20" s="10">
        <f>pilot_day*X8</f>
        <v/>
      </c>
      <c r="Y20" s="10">
        <f>pilot_day*Y8</f>
        <v/>
      </c>
      <c r="Z20" s="10">
        <f>pilot_day*Z8</f>
        <v/>
      </c>
      <c r="AA20" s="10">
        <f>pilot_day*AA8</f>
        <v/>
      </c>
      <c r="AB20" s="10">
        <f>pilot_day*AB8</f>
        <v/>
      </c>
      <c r="AC20" s="10">
        <f>pilot_day*AC8</f>
        <v/>
      </c>
    </row>
    <row r="21">
      <c r="A21" t="inlineStr">
        <is>
          <t>Цена бензина</t>
        </is>
      </c>
      <c r="B21" t="inlineStr">
        <is>
          <t>сум/л</t>
        </is>
      </c>
      <c r="C21" s="10">
        <f>petrol_price*C9</f>
        <v/>
      </c>
      <c r="D21" s="10">
        <f>petrol_price*D9</f>
        <v/>
      </c>
      <c r="E21" s="10">
        <f>petrol_price*E9</f>
        <v/>
      </c>
      <c r="F21" s="10">
        <f>petrol_price*F9</f>
        <v/>
      </c>
      <c r="G21" s="10">
        <f>petrol_price*G9</f>
        <v/>
      </c>
      <c r="H21" s="10">
        <f>petrol_price*H9</f>
        <v/>
      </c>
      <c r="I21" s="10">
        <f>petrol_price*I9</f>
        <v/>
      </c>
      <c r="J21" s="10">
        <f>petrol_price*J9</f>
        <v/>
      </c>
      <c r="K21" s="10">
        <f>petrol_price*K9</f>
        <v/>
      </c>
      <c r="L21" s="10">
        <f>petrol_price*L9</f>
        <v/>
      </c>
      <c r="M21" s="10">
        <f>petrol_price*M9</f>
        <v/>
      </c>
      <c r="N21" s="10">
        <f>petrol_price*N9</f>
        <v/>
      </c>
      <c r="O21" s="10">
        <f>petrol_price*O9</f>
        <v/>
      </c>
      <c r="P21" s="10">
        <f>petrol_price*P9</f>
        <v/>
      </c>
      <c r="Q21" s="10">
        <f>petrol_price*Q9</f>
        <v/>
      </c>
      <c r="R21" s="10">
        <f>petrol_price*R9</f>
        <v/>
      </c>
      <c r="S21" s="10">
        <f>petrol_price*S9</f>
        <v/>
      </c>
      <c r="T21" s="10">
        <f>petrol_price*T9</f>
        <v/>
      </c>
      <c r="U21" s="10">
        <f>petrol_price*U9</f>
        <v/>
      </c>
      <c r="V21" s="10">
        <f>petrol_price*V9</f>
        <v/>
      </c>
      <c r="W21" s="10">
        <f>petrol_price*W9</f>
        <v/>
      </c>
      <c r="X21" s="10">
        <f>petrol_price*X9</f>
        <v/>
      </c>
      <c r="Y21" s="10">
        <f>petrol_price*Y9</f>
        <v/>
      </c>
      <c r="Z21" s="10">
        <f>petrol_price*Z9</f>
        <v/>
      </c>
      <c r="AA21" s="10">
        <f>petrol_price*AA9</f>
        <v/>
      </c>
      <c r="AB21" s="10">
        <f>petrol_price*AB9</f>
        <v/>
      </c>
      <c r="AC21" s="10">
        <f>petrol_price*AC9</f>
        <v/>
      </c>
    </row>
    <row r="22">
      <c r="A22" t="inlineStr">
        <is>
          <t>Ресурс батареи</t>
        </is>
      </c>
      <c r="B22" t="inlineStr">
        <is>
          <t>циклов</t>
        </is>
      </c>
      <c r="C22" s="9">
        <f>battery_cycles*C10</f>
        <v/>
      </c>
      <c r="D22" s="9">
        <f>battery_cycles*D10</f>
        <v/>
      </c>
      <c r="E22" s="9">
        <f>battery_cycles*E10</f>
        <v/>
      </c>
      <c r="F22" s="9">
        <f>battery_cycles*F10</f>
        <v/>
      </c>
      <c r="G22" s="9">
        <f>battery_cycles*G10</f>
        <v/>
      </c>
      <c r="H22" s="9">
        <f>battery_cycles*H10</f>
        <v/>
      </c>
      <c r="I22" s="9">
        <f>battery_cycles*I10</f>
        <v/>
      </c>
      <c r="J22" s="9">
        <f>battery_cycles*J10</f>
        <v/>
      </c>
      <c r="K22" s="9">
        <f>battery_cycles*K10</f>
        <v/>
      </c>
      <c r="L22" s="9">
        <f>battery_cycles*L10</f>
        <v/>
      </c>
      <c r="M22" s="9">
        <f>battery_cycles*M10</f>
        <v/>
      </c>
      <c r="N22" s="9">
        <f>battery_cycles*N10</f>
        <v/>
      </c>
      <c r="O22" s="9">
        <f>battery_cycles*O10</f>
        <v/>
      </c>
      <c r="P22" s="9">
        <f>battery_cycles*P10</f>
        <v/>
      </c>
      <c r="Q22" s="9">
        <f>battery_cycles*Q10</f>
        <v/>
      </c>
      <c r="R22" s="9">
        <f>battery_cycles*R10</f>
        <v/>
      </c>
      <c r="S22" s="9">
        <f>battery_cycles*S10</f>
        <v/>
      </c>
      <c r="T22" s="9">
        <f>battery_cycles*T10</f>
        <v/>
      </c>
      <c r="U22" s="9">
        <f>battery_cycles*U10</f>
        <v/>
      </c>
      <c r="V22" s="9">
        <f>battery_cycles*V10</f>
        <v/>
      </c>
      <c r="W22" s="9">
        <f>battery_cycles*W10</f>
        <v/>
      </c>
      <c r="X22" s="9">
        <f>battery_cycles*X10</f>
        <v/>
      </c>
      <c r="Y22" s="9">
        <f>battery_cycles*Y10</f>
        <v/>
      </c>
      <c r="Z22" s="9">
        <f>battery_cycles*Z10</f>
        <v/>
      </c>
      <c r="AA22" s="9">
        <f>battery_cycles*AA10</f>
        <v/>
      </c>
      <c r="AB22" s="9">
        <f>battery_cycles*AB10</f>
        <v/>
      </c>
      <c r="AC22" s="9">
        <f>battery_cycles*AC10</f>
        <v/>
      </c>
    </row>
    <row r="23">
      <c r="A23" t="inlineStr">
        <is>
          <t>Рабочих дней в сезоне</t>
        </is>
      </c>
      <c r="B23" t="inlineStr">
        <is>
          <t>дн</t>
        </is>
      </c>
      <c r="C23" s="9">
        <f>days_per_season*C11</f>
        <v/>
      </c>
      <c r="D23" s="9">
        <f>days_per_season*D11</f>
        <v/>
      </c>
      <c r="E23" s="9">
        <f>days_per_season*E11</f>
        <v/>
      </c>
      <c r="F23" s="9">
        <f>days_per_season*F11</f>
        <v/>
      </c>
      <c r="G23" s="9">
        <f>days_per_season*G11</f>
        <v/>
      </c>
      <c r="H23" s="9">
        <f>days_per_season*H11</f>
        <v/>
      </c>
      <c r="I23" s="9">
        <f>days_per_season*I11</f>
        <v/>
      </c>
      <c r="J23" s="9">
        <f>days_per_season*J11</f>
        <v/>
      </c>
      <c r="K23" s="9">
        <f>days_per_season*K11</f>
        <v/>
      </c>
      <c r="L23" s="9">
        <f>days_per_season*L11</f>
        <v/>
      </c>
      <c r="M23" s="9">
        <f>days_per_season*M11</f>
        <v/>
      </c>
      <c r="N23" s="9">
        <f>days_per_season*N11</f>
        <v/>
      </c>
      <c r="O23" s="9">
        <f>days_per_season*O11</f>
        <v/>
      </c>
      <c r="P23" s="9">
        <f>days_per_season*P11</f>
        <v/>
      </c>
      <c r="Q23" s="9">
        <f>days_per_season*Q11</f>
        <v/>
      </c>
      <c r="R23" s="9">
        <f>days_per_season*R11</f>
        <v/>
      </c>
      <c r="S23" s="9">
        <f>days_per_season*S11</f>
        <v/>
      </c>
      <c r="T23" s="9">
        <f>days_per_season*T11</f>
        <v/>
      </c>
      <c r="U23" s="9">
        <f>days_per_season*U11</f>
        <v/>
      </c>
      <c r="V23" s="9">
        <f>days_per_season*V11</f>
        <v/>
      </c>
      <c r="W23" s="9">
        <f>days_per_season*W11</f>
        <v/>
      </c>
      <c r="X23" s="9">
        <f>days_per_season*X11</f>
        <v/>
      </c>
      <c r="Y23" s="9">
        <f>days_per_season*Y11</f>
        <v/>
      </c>
      <c r="Z23" s="9">
        <f>days_per_season*Z11</f>
        <v/>
      </c>
      <c r="AA23" s="9">
        <f>days_per_season*AA11</f>
        <v/>
      </c>
      <c r="AB23" s="9">
        <f>days_per_season*AB11</f>
        <v/>
      </c>
      <c r="AC23" s="9">
        <f>days_per_season*AC11</f>
        <v/>
      </c>
    </row>
    <row r="24">
      <c r="A24" t="inlineStr">
        <is>
          <t>Ширина захвата</t>
        </is>
      </c>
      <c r="B24" t="inlineStr">
        <is>
          <t>м</t>
        </is>
      </c>
      <c r="C24" s="9">
        <f>swath_eff_m*C12</f>
        <v/>
      </c>
      <c r="D24" s="9">
        <f>swath_eff_m*D12</f>
        <v/>
      </c>
      <c r="E24" s="9">
        <f>swath_eff_m*E12</f>
        <v/>
      </c>
      <c r="F24" s="9">
        <f>swath_eff_m*F12</f>
        <v/>
      </c>
      <c r="G24" s="9">
        <f>swath_eff_m*G12</f>
        <v/>
      </c>
      <c r="H24" s="9">
        <f>swath_eff_m*H12</f>
        <v/>
      </c>
      <c r="I24" s="9">
        <f>swath_eff_m*I12</f>
        <v/>
      </c>
      <c r="J24" s="9">
        <f>swath_eff_m*J12</f>
        <v/>
      </c>
      <c r="K24" s="9">
        <f>swath_eff_m*K12</f>
        <v/>
      </c>
      <c r="L24" s="9">
        <f>swath_eff_m*L12</f>
        <v/>
      </c>
      <c r="M24" s="9">
        <f>swath_eff_m*M12</f>
        <v/>
      </c>
      <c r="N24" s="9">
        <f>swath_eff_m*N12</f>
        <v/>
      </c>
      <c r="O24" s="9">
        <f>swath_eff_m*O12</f>
        <v/>
      </c>
      <c r="P24" s="9">
        <f>swath_eff_m*P12</f>
        <v/>
      </c>
      <c r="Q24" s="9">
        <f>swath_eff_m*Q12</f>
        <v/>
      </c>
      <c r="R24" s="9">
        <f>swath_eff_m*R12</f>
        <v/>
      </c>
      <c r="S24" s="9">
        <f>swath_eff_m*S12</f>
        <v/>
      </c>
      <c r="T24" s="9">
        <f>swath_eff_m*T12</f>
        <v/>
      </c>
      <c r="U24" s="9">
        <f>swath_eff_m*U12</f>
        <v/>
      </c>
      <c r="V24" s="9">
        <f>swath_eff_m*V12</f>
        <v/>
      </c>
      <c r="W24" s="9">
        <f>swath_eff_m*W12</f>
        <v/>
      </c>
      <c r="X24" s="9">
        <f>swath_eff_m*X12</f>
        <v/>
      </c>
      <c r="Y24" s="9">
        <f>swath_eff_m*Y12</f>
        <v/>
      </c>
      <c r="Z24" s="9">
        <f>swath_eff_m*Z12</f>
        <v/>
      </c>
      <c r="AA24" s="9">
        <f>swath_eff_m*AA12</f>
        <v/>
      </c>
      <c r="AB24" s="9">
        <f>swath_eff_m*AB12</f>
        <v/>
      </c>
      <c r="AC24" s="9">
        <f>swath_eff_m*AC12</f>
        <v/>
      </c>
    </row>
    <row r="25">
      <c r="A25" t="inlineStr">
        <is>
          <t>Скорость</t>
        </is>
      </c>
      <c r="B25" t="inlineStr">
        <is>
          <t>м/с</t>
        </is>
      </c>
      <c r="C25" s="9">
        <f>speed_ms*C13</f>
        <v/>
      </c>
      <c r="D25" s="9">
        <f>speed_ms*D13</f>
        <v/>
      </c>
      <c r="E25" s="9">
        <f>speed_ms*E13</f>
        <v/>
      </c>
      <c r="F25" s="9">
        <f>speed_ms*F13</f>
        <v/>
      </c>
      <c r="G25" s="9">
        <f>speed_ms*G13</f>
        <v/>
      </c>
      <c r="H25" s="9">
        <f>speed_ms*H13</f>
        <v/>
      </c>
      <c r="I25" s="9">
        <f>speed_ms*I13</f>
        <v/>
      </c>
      <c r="J25" s="9">
        <f>speed_ms*J13</f>
        <v/>
      </c>
      <c r="K25" s="9">
        <f>speed_ms*K13</f>
        <v/>
      </c>
      <c r="L25" s="9">
        <f>speed_ms*L13</f>
        <v/>
      </c>
      <c r="M25" s="9">
        <f>speed_ms*M13</f>
        <v/>
      </c>
      <c r="N25" s="9">
        <f>speed_ms*N13</f>
        <v/>
      </c>
      <c r="O25" s="9">
        <f>speed_ms*O13</f>
        <v/>
      </c>
      <c r="P25" s="9">
        <f>speed_ms*P13</f>
        <v/>
      </c>
      <c r="Q25" s="9">
        <f>speed_ms*Q13</f>
        <v/>
      </c>
      <c r="R25" s="9">
        <f>speed_ms*R13</f>
        <v/>
      </c>
      <c r="S25" s="9">
        <f>speed_ms*S13</f>
        <v/>
      </c>
      <c r="T25" s="9">
        <f>speed_ms*T13</f>
        <v/>
      </c>
      <c r="U25" s="9">
        <f>speed_ms*U13</f>
        <v/>
      </c>
      <c r="V25" s="9">
        <f>speed_ms*V13</f>
        <v/>
      </c>
      <c r="W25" s="9">
        <f>speed_ms*W13</f>
        <v/>
      </c>
      <c r="X25" s="9">
        <f>speed_ms*X13</f>
        <v/>
      </c>
      <c r="Y25" s="9">
        <f>speed_ms*Y13</f>
        <v/>
      </c>
      <c r="Z25" s="9">
        <f>speed_ms*Z13</f>
        <v/>
      </c>
      <c r="AA25" s="9">
        <f>speed_ms*AA13</f>
        <v/>
      </c>
      <c r="AB25" s="9">
        <f>speed_ms*AB13</f>
        <v/>
      </c>
      <c r="AC25" s="9">
        <f>speed_ms*AC13</f>
        <v/>
      </c>
    </row>
    <row r="26">
      <c r="A26" s="3" t="inlineStr">
        <is>
          <t>ПРОИЗВОДИТЕЛЬНОСТЬ</t>
        </is>
      </c>
      <c r="B26" s="2" t="inlineStr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</row>
    <row r="27">
      <c r="A27" t="inlineStr">
        <is>
          <t>Вылетов на гектар</t>
        </is>
      </c>
      <c r="B27" t="inlineStr">
        <is>
          <t>шт</t>
        </is>
      </c>
      <c r="C27" s="9">
        <f>C2/C15</f>
        <v/>
      </c>
      <c r="D27" s="9">
        <f>D2/D15</f>
        <v/>
      </c>
      <c r="E27" s="9">
        <f>E2/E15</f>
        <v/>
      </c>
      <c r="F27" s="9">
        <f>F2/F15</f>
        <v/>
      </c>
      <c r="G27" s="9">
        <f>G2/G15</f>
        <v/>
      </c>
      <c r="H27" s="9">
        <f>H2/H15</f>
        <v/>
      </c>
      <c r="I27" s="9">
        <f>I2/I15</f>
        <v/>
      </c>
      <c r="J27" s="9">
        <f>J2/J15</f>
        <v/>
      </c>
      <c r="K27" s="9">
        <f>K2/K15</f>
        <v/>
      </c>
      <c r="L27" s="9">
        <f>L2/L15</f>
        <v/>
      </c>
      <c r="M27" s="9">
        <f>M2/M15</f>
        <v/>
      </c>
      <c r="N27" s="9">
        <f>N2/N15</f>
        <v/>
      </c>
      <c r="O27" s="9">
        <f>O2/O15</f>
        <v/>
      </c>
      <c r="P27" s="9">
        <f>P2/P15</f>
        <v/>
      </c>
      <c r="Q27" s="9">
        <f>Q2/Q15</f>
        <v/>
      </c>
      <c r="R27" s="9">
        <f>R2/R15</f>
        <v/>
      </c>
      <c r="S27" s="9">
        <f>S2/S15</f>
        <v/>
      </c>
      <c r="T27" s="9">
        <f>T2/T15</f>
        <v/>
      </c>
      <c r="U27" s="9">
        <f>U2/U15</f>
        <v/>
      </c>
      <c r="V27" s="9">
        <f>V2/V15</f>
        <v/>
      </c>
      <c r="W27" s="9">
        <f>W2/W15</f>
        <v/>
      </c>
      <c r="X27" s="9">
        <f>X2/X15</f>
        <v/>
      </c>
      <c r="Y27" s="9">
        <f>Y2/Y15</f>
        <v/>
      </c>
      <c r="Z27" s="9">
        <f>Z2/Z15</f>
        <v/>
      </c>
      <c r="AA27" s="9">
        <f>AA2/AA15</f>
        <v/>
      </c>
      <c r="AB27" s="9">
        <f>AB2/AB15</f>
        <v/>
      </c>
      <c r="AC27" s="9">
        <f>AC2/AC15</f>
        <v/>
      </c>
    </row>
    <row r="28">
      <c r="A28" t="inlineStr">
        <is>
          <t>Время разбрасывания на гектар (без накладных)</t>
        </is>
      </c>
      <c r="B28" t="inlineStr">
        <is>
          <t>мин</t>
        </is>
      </c>
      <c r="C28" s="9">
        <f>10000/(C24*C25)/60</f>
        <v/>
      </c>
      <c r="D28" s="9">
        <f>10000/(D24*D25)/60</f>
        <v/>
      </c>
      <c r="E28" s="9">
        <f>10000/(E24*E25)/60</f>
        <v/>
      </c>
      <c r="F28" s="9">
        <f>10000/(F24*F25)/60</f>
        <v/>
      </c>
      <c r="G28" s="9">
        <f>10000/(G24*G25)/60</f>
        <v/>
      </c>
      <c r="H28" s="9">
        <f>10000/(H24*H25)/60</f>
        <v/>
      </c>
      <c r="I28" s="9">
        <f>10000/(I24*I25)/60</f>
        <v/>
      </c>
      <c r="J28" s="9">
        <f>10000/(J24*J25)/60</f>
        <v/>
      </c>
      <c r="K28" s="9">
        <f>10000/(K24*K25)/60</f>
        <v/>
      </c>
      <c r="L28" s="9">
        <f>10000/(L24*L25)/60</f>
        <v/>
      </c>
      <c r="M28" s="9">
        <f>10000/(M24*M25)/60</f>
        <v/>
      </c>
      <c r="N28" s="9">
        <f>10000/(N24*N25)/60</f>
        <v/>
      </c>
      <c r="O28" s="9">
        <f>10000/(O24*O25)/60</f>
        <v/>
      </c>
      <c r="P28" s="9">
        <f>10000/(P24*P25)/60</f>
        <v/>
      </c>
      <c r="Q28" s="9">
        <f>10000/(Q24*Q25)/60</f>
        <v/>
      </c>
      <c r="R28" s="9">
        <f>10000/(R24*R25)/60</f>
        <v/>
      </c>
      <c r="S28" s="9">
        <f>10000/(S24*S25)/60</f>
        <v/>
      </c>
      <c r="T28" s="9">
        <f>10000/(T24*T25)/60</f>
        <v/>
      </c>
      <c r="U28" s="9">
        <f>10000/(U24*U25)/60</f>
        <v/>
      </c>
      <c r="V28" s="9">
        <f>10000/(V24*V25)/60</f>
        <v/>
      </c>
      <c r="W28" s="9">
        <f>10000/(W24*W25)/60</f>
        <v/>
      </c>
      <c r="X28" s="9">
        <f>10000/(X24*X25)/60</f>
        <v/>
      </c>
      <c r="Y28" s="9">
        <f>10000/(Y24*Y25)/60</f>
        <v/>
      </c>
      <c r="Z28" s="9">
        <f>10000/(Z24*Z25)/60</f>
        <v/>
      </c>
      <c r="AA28" s="9">
        <f>10000/(AA24*AA25)/60</f>
        <v/>
      </c>
      <c r="AB28" s="9">
        <f>10000/(AB24*AB25)/60</f>
        <v/>
      </c>
      <c r="AC28" s="9">
        <f>10000/(AC24*AC25)/60</f>
        <v/>
      </c>
    </row>
    <row r="29">
      <c r="A29" t="inlineStr">
        <is>
          <t>Время разбрасывания за вылет</t>
        </is>
      </c>
      <c r="B29" t="inlineStr">
        <is>
          <t>мин</t>
        </is>
      </c>
      <c r="C29" s="9">
        <f>C28/C27</f>
        <v/>
      </c>
      <c r="D29" s="9">
        <f>D28/D27</f>
        <v/>
      </c>
      <c r="E29" s="9">
        <f>E28/E27</f>
        <v/>
      </c>
      <c r="F29" s="9">
        <f>F28/F27</f>
        <v/>
      </c>
      <c r="G29" s="9">
        <f>G28/G27</f>
        <v/>
      </c>
      <c r="H29" s="9">
        <f>H28/H27</f>
        <v/>
      </c>
      <c r="I29" s="9">
        <f>I28/I27</f>
        <v/>
      </c>
      <c r="J29" s="9">
        <f>J28/J27</f>
        <v/>
      </c>
      <c r="K29" s="9">
        <f>K28/K27</f>
        <v/>
      </c>
      <c r="L29" s="9">
        <f>L28/L27</f>
        <v/>
      </c>
      <c r="M29" s="9">
        <f>M28/M27</f>
        <v/>
      </c>
      <c r="N29" s="9">
        <f>N28/N27</f>
        <v/>
      </c>
      <c r="O29" s="9">
        <f>O28/O27</f>
        <v/>
      </c>
      <c r="P29" s="9">
        <f>P28/P27</f>
        <v/>
      </c>
      <c r="Q29" s="9">
        <f>Q28/Q27</f>
        <v/>
      </c>
      <c r="R29" s="9">
        <f>R28/R27</f>
        <v/>
      </c>
      <c r="S29" s="9">
        <f>S28/S27</f>
        <v/>
      </c>
      <c r="T29" s="9">
        <f>T28/T27</f>
        <v/>
      </c>
      <c r="U29" s="9">
        <f>U28/U27</f>
        <v/>
      </c>
      <c r="V29" s="9">
        <f>V28/V27</f>
        <v/>
      </c>
      <c r="W29" s="9">
        <f>W28/W27</f>
        <v/>
      </c>
      <c r="X29" s="9">
        <f>X28/X27</f>
        <v/>
      </c>
      <c r="Y29" s="9">
        <f>Y28/Y27</f>
        <v/>
      </c>
      <c r="Z29" s="9">
        <f>Z28/Z27</f>
        <v/>
      </c>
      <c r="AA29" s="9">
        <f>AA28/AA27</f>
        <v/>
      </c>
      <c r="AB29" s="9">
        <f>AB28/AB27</f>
        <v/>
      </c>
      <c r="AC29" s="9">
        <f>AC28/AC27</f>
        <v/>
      </c>
    </row>
    <row r="30">
      <c r="A30" t="inlineStr">
        <is>
          <t>Длительность вылета</t>
        </is>
      </c>
      <c r="B30" t="inlineStr">
        <is>
          <t>мин</t>
        </is>
      </c>
      <c r="C30" s="9">
        <f>C29+C18</f>
        <v/>
      </c>
      <c r="D30" s="9">
        <f>D29+D18</f>
        <v/>
      </c>
      <c r="E30" s="9">
        <f>E29+E18</f>
        <v/>
      </c>
      <c r="F30" s="9">
        <f>F29+F18</f>
        <v/>
      </c>
      <c r="G30" s="9">
        <f>G29+G18</f>
        <v/>
      </c>
      <c r="H30" s="9">
        <f>H29+H18</f>
        <v/>
      </c>
      <c r="I30" s="9">
        <f>I29+I18</f>
        <v/>
      </c>
      <c r="J30" s="9">
        <f>J29+J18</f>
        <v/>
      </c>
      <c r="K30" s="9">
        <f>K29+K18</f>
        <v/>
      </c>
      <c r="L30" s="9">
        <f>L29+L18</f>
        <v/>
      </c>
      <c r="M30" s="9">
        <f>M29+M18</f>
        <v/>
      </c>
      <c r="N30" s="9">
        <f>N29+N18</f>
        <v/>
      </c>
      <c r="O30" s="9">
        <f>O29+O18</f>
        <v/>
      </c>
      <c r="P30" s="9">
        <f>P29+P18</f>
        <v/>
      </c>
      <c r="Q30" s="9">
        <f>Q29+Q18</f>
        <v/>
      </c>
      <c r="R30" s="9">
        <f>R29+R18</f>
        <v/>
      </c>
      <c r="S30" s="9">
        <f>S29+S18</f>
        <v/>
      </c>
      <c r="T30" s="9">
        <f>T29+T18</f>
        <v/>
      </c>
      <c r="U30" s="9">
        <f>U29+U18</f>
        <v/>
      </c>
      <c r="V30" s="9">
        <f>V29+V18</f>
        <v/>
      </c>
      <c r="W30" s="9">
        <f>W29+W18</f>
        <v/>
      </c>
      <c r="X30" s="9">
        <f>X29+X18</f>
        <v/>
      </c>
      <c r="Y30" s="9">
        <f>Y29+Y18</f>
        <v/>
      </c>
      <c r="Z30" s="9">
        <f>Z29+Z18</f>
        <v/>
      </c>
      <c r="AA30" s="9">
        <f>AA29+AA18</f>
        <v/>
      </c>
      <c r="AB30" s="9">
        <f>AB29+AB18</f>
        <v/>
      </c>
      <c r="AC30" s="9">
        <f>AC29+AC18</f>
        <v/>
      </c>
    </row>
    <row r="31">
      <c r="A31" t="inlineStr">
        <is>
          <t>Полный цикл (вылет + загрузка)</t>
        </is>
      </c>
      <c r="B31" t="inlineStr">
        <is>
          <t>мин</t>
        </is>
      </c>
      <c r="C31" s="9">
        <f>C30+C17</f>
        <v/>
      </c>
      <c r="D31" s="9">
        <f>D30+D17</f>
        <v/>
      </c>
      <c r="E31" s="9">
        <f>E30+E17</f>
        <v/>
      </c>
      <c r="F31" s="9">
        <f>F30+F17</f>
        <v/>
      </c>
      <c r="G31" s="9">
        <f>G30+G17</f>
        <v/>
      </c>
      <c r="H31" s="9">
        <f>H30+H17</f>
        <v/>
      </c>
      <c r="I31" s="9">
        <f>I30+I17</f>
        <v/>
      </c>
      <c r="J31" s="9">
        <f>J30+J17</f>
        <v/>
      </c>
      <c r="K31" s="9">
        <f>K30+K17</f>
        <v/>
      </c>
      <c r="L31" s="9">
        <f>L30+L17</f>
        <v/>
      </c>
      <c r="M31" s="9">
        <f>M30+M17</f>
        <v/>
      </c>
      <c r="N31" s="9">
        <f>N30+N17</f>
        <v/>
      </c>
      <c r="O31" s="9">
        <f>O30+O17</f>
        <v/>
      </c>
      <c r="P31" s="9">
        <f>P30+P17</f>
        <v/>
      </c>
      <c r="Q31" s="9">
        <f>Q30+Q17</f>
        <v/>
      </c>
      <c r="R31" s="9">
        <f>R30+R17</f>
        <v/>
      </c>
      <c r="S31" s="9">
        <f>S30+S17</f>
        <v/>
      </c>
      <c r="T31" s="9">
        <f>T30+T17</f>
        <v/>
      </c>
      <c r="U31" s="9">
        <f>U30+U17</f>
        <v/>
      </c>
      <c r="V31" s="9">
        <f>V30+V17</f>
        <v/>
      </c>
      <c r="W31" s="9">
        <f>W30+W17</f>
        <v/>
      </c>
      <c r="X31" s="9">
        <f>X30+X17</f>
        <v/>
      </c>
      <c r="Y31" s="9">
        <f>Y30+Y17</f>
        <v/>
      </c>
      <c r="Z31" s="9">
        <f>Z30+Z17</f>
        <v/>
      </c>
      <c r="AA31" s="9">
        <f>AA30+AA17</f>
        <v/>
      </c>
      <c r="AB31" s="9">
        <f>AB30+AB17</f>
        <v/>
      </c>
      <c r="AC31" s="9">
        <f>AC30+AC17</f>
        <v/>
      </c>
    </row>
    <row r="32">
      <c r="A32" t="inlineStr">
        <is>
          <t>Вылетов в час</t>
        </is>
      </c>
      <c r="B32" t="inlineStr">
        <is>
          <t>шт</t>
        </is>
      </c>
      <c r="C32" s="9">
        <f>60/C31</f>
        <v/>
      </c>
      <c r="D32" s="9">
        <f>60/D31</f>
        <v/>
      </c>
      <c r="E32" s="9">
        <f>60/E31</f>
        <v/>
      </c>
      <c r="F32" s="9">
        <f>60/F31</f>
        <v/>
      </c>
      <c r="G32" s="9">
        <f>60/G31</f>
        <v/>
      </c>
      <c r="H32" s="9">
        <f>60/H31</f>
        <v/>
      </c>
      <c r="I32" s="9">
        <f>60/I31</f>
        <v/>
      </c>
      <c r="J32" s="9">
        <f>60/J31</f>
        <v/>
      </c>
      <c r="K32" s="9">
        <f>60/K31</f>
        <v/>
      </c>
      <c r="L32" s="9">
        <f>60/L31</f>
        <v/>
      </c>
      <c r="M32" s="9">
        <f>60/M31</f>
        <v/>
      </c>
      <c r="N32" s="9">
        <f>60/N31</f>
        <v/>
      </c>
      <c r="O32" s="9">
        <f>60/O31</f>
        <v/>
      </c>
      <c r="P32" s="9">
        <f>60/P31</f>
        <v/>
      </c>
      <c r="Q32" s="9">
        <f>60/Q31</f>
        <v/>
      </c>
      <c r="R32" s="9">
        <f>60/R31</f>
        <v/>
      </c>
      <c r="S32" s="9">
        <f>60/S31</f>
        <v/>
      </c>
      <c r="T32" s="9">
        <f>60/T31</f>
        <v/>
      </c>
      <c r="U32" s="9">
        <f>60/U31</f>
        <v/>
      </c>
      <c r="V32" s="9">
        <f>60/V31</f>
        <v/>
      </c>
      <c r="W32" s="9">
        <f>60/W31</f>
        <v/>
      </c>
      <c r="X32" s="9">
        <f>60/X31</f>
        <v/>
      </c>
      <c r="Y32" s="9">
        <f>60/Y31</f>
        <v/>
      </c>
      <c r="Z32" s="9">
        <f>60/Z31</f>
        <v/>
      </c>
      <c r="AA32" s="9">
        <f>60/AA31</f>
        <v/>
      </c>
      <c r="AB32" s="9">
        <f>60/AB31</f>
        <v/>
      </c>
      <c r="AC32" s="9">
        <f>60/AC31</f>
        <v/>
      </c>
    </row>
    <row r="33">
      <c r="A33" t="inlineStr">
        <is>
          <t>Внесено удобрений в час</t>
        </is>
      </c>
      <c r="B33" t="inlineStr">
        <is>
          <t>кг</t>
        </is>
      </c>
      <c r="C33" s="9">
        <f>C32*C15</f>
        <v/>
      </c>
      <c r="D33" s="9">
        <f>D32*D15</f>
        <v/>
      </c>
      <c r="E33" s="9">
        <f>E32*E15</f>
        <v/>
      </c>
      <c r="F33" s="9">
        <f>F32*F15</f>
        <v/>
      </c>
      <c r="G33" s="9">
        <f>G32*G15</f>
        <v/>
      </c>
      <c r="H33" s="9">
        <f>H32*H15</f>
        <v/>
      </c>
      <c r="I33" s="9">
        <f>I32*I15</f>
        <v/>
      </c>
      <c r="J33" s="9">
        <f>J32*J15</f>
        <v/>
      </c>
      <c r="K33" s="9">
        <f>K32*K15</f>
        <v/>
      </c>
      <c r="L33" s="9">
        <f>L32*L15</f>
        <v/>
      </c>
      <c r="M33" s="9">
        <f>M32*M15</f>
        <v/>
      </c>
      <c r="N33" s="9">
        <f>N32*N15</f>
        <v/>
      </c>
      <c r="O33" s="9">
        <f>O32*O15</f>
        <v/>
      </c>
      <c r="P33" s="9">
        <f>P32*P15</f>
        <v/>
      </c>
      <c r="Q33" s="9">
        <f>Q32*Q15</f>
        <v/>
      </c>
      <c r="R33" s="9">
        <f>R32*R15</f>
        <v/>
      </c>
      <c r="S33" s="9">
        <f>S32*S15</f>
        <v/>
      </c>
      <c r="T33" s="9">
        <f>T32*T15</f>
        <v/>
      </c>
      <c r="U33" s="9">
        <f>U32*U15</f>
        <v/>
      </c>
      <c r="V33" s="9">
        <f>V32*V15</f>
        <v/>
      </c>
      <c r="W33" s="9">
        <f>W32*W15</f>
        <v/>
      </c>
      <c r="X33" s="9">
        <f>X32*X15</f>
        <v/>
      </c>
      <c r="Y33" s="9">
        <f>Y32*Y15</f>
        <v/>
      </c>
      <c r="Z33" s="9">
        <f>Z32*Z15</f>
        <v/>
      </c>
      <c r="AA33" s="9">
        <f>AA32*AA15</f>
        <v/>
      </c>
      <c r="AB33" s="9">
        <f>AB32*AB15</f>
        <v/>
      </c>
      <c r="AC33" s="9">
        <f>AC32*AC15</f>
        <v/>
      </c>
    </row>
    <row r="34">
      <c r="A34" t="inlineStr">
        <is>
          <t>Гектаров в час</t>
        </is>
      </c>
      <c r="B34" t="inlineStr">
        <is>
          <t>га</t>
        </is>
      </c>
      <c r="C34" s="9">
        <f>C33/C2</f>
        <v/>
      </c>
      <c r="D34" s="9">
        <f>D33/D2</f>
        <v/>
      </c>
      <c r="E34" s="9">
        <f>E33/E2</f>
        <v/>
      </c>
      <c r="F34" s="9">
        <f>F33/F2</f>
        <v/>
      </c>
      <c r="G34" s="9">
        <f>G33/G2</f>
        <v/>
      </c>
      <c r="H34" s="9">
        <f>H33/H2</f>
        <v/>
      </c>
      <c r="I34" s="9">
        <f>I33/I2</f>
        <v/>
      </c>
      <c r="J34" s="9">
        <f>J33/J2</f>
        <v/>
      </c>
      <c r="K34" s="9">
        <f>K33/K2</f>
        <v/>
      </c>
      <c r="L34" s="9">
        <f>L33/L2</f>
        <v/>
      </c>
      <c r="M34" s="9">
        <f>M33/M2</f>
        <v/>
      </c>
      <c r="N34" s="9">
        <f>N33/N2</f>
        <v/>
      </c>
      <c r="O34" s="9">
        <f>O33/O2</f>
        <v/>
      </c>
      <c r="P34" s="9">
        <f>P33/P2</f>
        <v/>
      </c>
      <c r="Q34" s="9">
        <f>Q33/Q2</f>
        <v/>
      </c>
      <c r="R34" s="9">
        <f>R33/R2</f>
        <v/>
      </c>
      <c r="S34" s="9">
        <f>S33/S2</f>
        <v/>
      </c>
      <c r="T34" s="9">
        <f>T33/T2</f>
        <v/>
      </c>
      <c r="U34" s="9">
        <f>U33/U2</f>
        <v/>
      </c>
      <c r="V34" s="9">
        <f>V33/V2</f>
        <v/>
      </c>
      <c r="W34" s="9">
        <f>W33/W2</f>
        <v/>
      </c>
      <c r="X34" s="9">
        <f>X33/X2</f>
        <v/>
      </c>
      <c r="Y34" s="9">
        <f>Y33/Y2</f>
        <v/>
      </c>
      <c r="Z34" s="9">
        <f>Z33/Z2</f>
        <v/>
      </c>
      <c r="AA34" s="9">
        <f>AA33/AA2</f>
        <v/>
      </c>
      <c r="AB34" s="9">
        <f>AB33/AB2</f>
        <v/>
      </c>
      <c r="AC34" s="9">
        <f>AC33/AC2</f>
        <v/>
      </c>
    </row>
    <row r="35">
      <c r="A35" s="1" t="inlineStr">
        <is>
          <t>Гектаров за рабочий день</t>
        </is>
      </c>
      <c r="B35" t="inlineStr">
        <is>
          <t>га</t>
        </is>
      </c>
      <c r="C35" s="11">
        <f>C34*C16</f>
        <v/>
      </c>
      <c r="D35" s="11">
        <f>D34*D16</f>
        <v/>
      </c>
      <c r="E35" s="11">
        <f>E34*E16</f>
        <v/>
      </c>
      <c r="F35" s="11">
        <f>F34*F16</f>
        <v/>
      </c>
      <c r="G35" s="11">
        <f>G34*G16</f>
        <v/>
      </c>
      <c r="H35" s="11">
        <f>H34*H16</f>
        <v/>
      </c>
      <c r="I35" s="11">
        <f>I34*I16</f>
        <v/>
      </c>
      <c r="J35" s="11">
        <f>J34*J16</f>
        <v/>
      </c>
      <c r="K35" s="11">
        <f>K34*K16</f>
        <v/>
      </c>
      <c r="L35" s="11">
        <f>L34*L16</f>
        <v/>
      </c>
      <c r="M35" s="11">
        <f>M34*M16</f>
        <v/>
      </c>
      <c r="N35" s="11">
        <f>N34*N16</f>
        <v/>
      </c>
      <c r="O35" s="11">
        <f>O34*O16</f>
        <v/>
      </c>
      <c r="P35" s="11">
        <f>P34*P16</f>
        <v/>
      </c>
      <c r="Q35" s="11">
        <f>Q34*Q16</f>
        <v/>
      </c>
      <c r="R35" s="11">
        <f>R34*R16</f>
        <v/>
      </c>
      <c r="S35" s="11">
        <f>S34*S16</f>
        <v/>
      </c>
      <c r="T35" s="11">
        <f>T34*T16</f>
        <v/>
      </c>
      <c r="U35" s="11">
        <f>U34*U16</f>
        <v/>
      </c>
      <c r="V35" s="11">
        <f>V34*V16</f>
        <v/>
      </c>
      <c r="W35" s="11">
        <f>W34*W16</f>
        <v/>
      </c>
      <c r="X35" s="11">
        <f>X34*X16</f>
        <v/>
      </c>
      <c r="Y35" s="11">
        <f>Y34*Y16</f>
        <v/>
      </c>
      <c r="Z35" s="11">
        <f>Z34*Z16</f>
        <v/>
      </c>
      <c r="AA35" s="11">
        <f>AA34*AA16</f>
        <v/>
      </c>
      <c r="AB35" s="11">
        <f>AB34*AB16</f>
        <v/>
      </c>
      <c r="AC35" s="11">
        <f>AC34*AC16</f>
        <v/>
      </c>
    </row>
    <row r="36">
      <c r="A36" t="inlineStr">
        <is>
          <t>Вылетов за день</t>
        </is>
      </c>
      <c r="B36" t="inlineStr">
        <is>
          <t>шт</t>
        </is>
      </c>
      <c r="C36" s="9">
        <f>C32*C16</f>
        <v/>
      </c>
      <c r="D36" s="9">
        <f>D32*D16</f>
        <v/>
      </c>
      <c r="E36" s="9">
        <f>E32*E16</f>
        <v/>
      </c>
      <c r="F36" s="9">
        <f>F32*F16</f>
        <v/>
      </c>
      <c r="G36" s="9">
        <f>G32*G16</f>
        <v/>
      </c>
      <c r="H36" s="9">
        <f>H32*H16</f>
        <v/>
      </c>
      <c r="I36" s="9">
        <f>I32*I16</f>
        <v/>
      </c>
      <c r="J36" s="9">
        <f>J32*J16</f>
        <v/>
      </c>
      <c r="K36" s="9">
        <f>K32*K16</f>
        <v/>
      </c>
      <c r="L36" s="9">
        <f>L32*L16</f>
        <v/>
      </c>
      <c r="M36" s="9">
        <f>M32*M16</f>
        <v/>
      </c>
      <c r="N36" s="9">
        <f>N32*N16</f>
        <v/>
      </c>
      <c r="O36" s="9">
        <f>O32*O16</f>
        <v/>
      </c>
      <c r="P36" s="9">
        <f>P32*P16</f>
        <v/>
      </c>
      <c r="Q36" s="9">
        <f>Q32*Q16</f>
        <v/>
      </c>
      <c r="R36" s="9">
        <f>R32*R16</f>
        <v/>
      </c>
      <c r="S36" s="9">
        <f>S32*S16</f>
        <v/>
      </c>
      <c r="T36" s="9">
        <f>T32*T16</f>
        <v/>
      </c>
      <c r="U36" s="9">
        <f>U32*U16</f>
        <v/>
      </c>
      <c r="V36" s="9">
        <f>V32*V16</f>
        <v/>
      </c>
      <c r="W36" s="9">
        <f>W32*W16</f>
        <v/>
      </c>
      <c r="X36" s="9">
        <f>X32*X16</f>
        <v/>
      </c>
      <c r="Y36" s="9">
        <f>Y32*Y16</f>
        <v/>
      </c>
      <c r="Z36" s="9">
        <f>Z32*Z16</f>
        <v/>
      </c>
      <c r="AA36" s="9">
        <f>AA32*AA16</f>
        <v/>
      </c>
      <c r="AB36" s="9">
        <f>AB32*AB16</f>
        <v/>
      </c>
      <c r="AC36" s="9">
        <f>AC32*AC16</f>
        <v/>
      </c>
    </row>
    <row r="37">
      <c r="A37" t="inlineStr">
        <is>
          <t>Тонн за день</t>
        </is>
      </c>
      <c r="B37" t="inlineStr">
        <is>
          <t>т</t>
        </is>
      </c>
      <c r="C37" s="9">
        <f>C33*C16/1000</f>
        <v/>
      </c>
      <c r="D37" s="9">
        <f>D33*D16/1000</f>
        <v/>
      </c>
      <c r="E37" s="9">
        <f>E33*E16/1000</f>
        <v/>
      </c>
      <c r="F37" s="9">
        <f>F33*F16/1000</f>
        <v/>
      </c>
      <c r="G37" s="9">
        <f>G33*G16/1000</f>
        <v/>
      </c>
      <c r="H37" s="9">
        <f>H33*H16/1000</f>
        <v/>
      </c>
      <c r="I37" s="9">
        <f>I33*I16/1000</f>
        <v/>
      </c>
      <c r="J37" s="9">
        <f>J33*J16/1000</f>
        <v/>
      </c>
      <c r="K37" s="9">
        <f>K33*K16/1000</f>
        <v/>
      </c>
      <c r="L37" s="9">
        <f>L33*L16/1000</f>
        <v/>
      </c>
      <c r="M37" s="9">
        <f>M33*M16/1000</f>
        <v/>
      </c>
      <c r="N37" s="9">
        <f>N33*N16/1000</f>
        <v/>
      </c>
      <c r="O37" s="9">
        <f>O33*O16/1000</f>
        <v/>
      </c>
      <c r="P37" s="9">
        <f>P33*P16/1000</f>
        <v/>
      </c>
      <c r="Q37" s="9">
        <f>Q33*Q16/1000</f>
        <v/>
      </c>
      <c r="R37" s="9">
        <f>R33*R16/1000</f>
        <v/>
      </c>
      <c r="S37" s="9">
        <f>S33*S16/1000</f>
        <v/>
      </c>
      <c r="T37" s="9">
        <f>T33*T16/1000</f>
        <v/>
      </c>
      <c r="U37" s="9">
        <f>U33*U16/1000</f>
        <v/>
      </c>
      <c r="V37" s="9">
        <f>V33*V16/1000</f>
        <v/>
      </c>
      <c r="W37" s="9">
        <f>W33*W16/1000</f>
        <v/>
      </c>
      <c r="X37" s="9">
        <f>X33*X16/1000</f>
        <v/>
      </c>
      <c r="Y37" s="9">
        <f>Y33*Y16/1000</f>
        <v/>
      </c>
      <c r="Z37" s="9">
        <f>Z33*Z16/1000</f>
        <v/>
      </c>
      <c r="AA37" s="9">
        <f>AA33*AA16/1000</f>
        <v/>
      </c>
      <c r="AB37" s="9">
        <f>AB33*AB16/1000</f>
        <v/>
      </c>
      <c r="AC37" s="9">
        <f>AC33*AC16/1000</f>
        <v/>
      </c>
    </row>
    <row r="38">
      <c r="A38" t="inlineStr">
        <is>
          <t>Требуемая подача разбрасывателя</t>
        </is>
      </c>
      <c r="B38" t="inlineStr">
        <is>
          <t>кг/мин</t>
        </is>
      </c>
      <c r="C38" s="9">
        <f>C15/C29</f>
        <v/>
      </c>
      <c r="D38" s="9">
        <f>D15/D29</f>
        <v/>
      </c>
      <c r="E38" s="9">
        <f>E15/E29</f>
        <v/>
      </c>
      <c r="F38" s="9">
        <f>F15/F29</f>
        <v/>
      </c>
      <c r="G38" s="9">
        <f>G15/G29</f>
        <v/>
      </c>
      <c r="H38" s="9">
        <f>H15/H29</f>
        <v/>
      </c>
      <c r="I38" s="9">
        <f>I15/I29</f>
        <v/>
      </c>
      <c r="J38" s="9">
        <f>J15/J29</f>
        <v/>
      </c>
      <c r="K38" s="9">
        <f>K15/K29</f>
        <v/>
      </c>
      <c r="L38" s="9">
        <f>L15/L29</f>
        <v/>
      </c>
      <c r="M38" s="9">
        <f>M15/M29</f>
        <v/>
      </c>
      <c r="N38" s="9">
        <f>N15/N29</f>
        <v/>
      </c>
      <c r="O38" s="9">
        <f>O15/O29</f>
        <v/>
      </c>
      <c r="P38" s="9">
        <f>P15/P29</f>
        <v/>
      </c>
      <c r="Q38" s="9">
        <f>Q15/Q29</f>
        <v/>
      </c>
      <c r="R38" s="9">
        <f>R15/R29</f>
        <v/>
      </c>
      <c r="S38" s="9">
        <f>S15/S29</f>
        <v/>
      </c>
      <c r="T38" s="9">
        <f>T15/T29</f>
        <v/>
      </c>
      <c r="U38" s="9">
        <f>U15/U29</f>
        <v/>
      </c>
      <c r="V38" s="9">
        <f>V15/V29</f>
        <v/>
      </c>
      <c r="W38" s="9">
        <f>W15/W29</f>
        <v/>
      </c>
      <c r="X38" s="9">
        <f>X15/X29</f>
        <v/>
      </c>
      <c r="Y38" s="9">
        <f>Y15/Y29</f>
        <v/>
      </c>
      <c r="Z38" s="9">
        <f>Z15/Z29</f>
        <v/>
      </c>
      <c r="AA38" s="9">
        <f>AA15/AA29</f>
        <v/>
      </c>
      <c r="AB38" s="9">
        <f>AB15/AB29</f>
        <v/>
      </c>
      <c r="AC38" s="9">
        <f>AC15/AC29</f>
        <v/>
      </c>
    </row>
    <row r="39">
      <c r="A39" t="inlineStr">
        <is>
          <t>Подача в пределах паспорта?</t>
        </is>
      </c>
      <c r="B39" t="inlineStr"/>
      <c r="C39">
        <f>IF(C38&lt;=max_flow_kg_min,"да","НЕТ: снизить скорость")</f>
        <v/>
      </c>
      <c r="D39">
        <f>IF(D38&lt;=max_flow_kg_min,"да","НЕТ: снизить скорость")</f>
        <v/>
      </c>
      <c r="E39">
        <f>IF(E38&lt;=max_flow_kg_min,"да","НЕТ: снизить скорость")</f>
        <v/>
      </c>
      <c r="F39">
        <f>IF(F38&lt;=max_flow_kg_min,"да","НЕТ: снизить скорость")</f>
        <v/>
      </c>
      <c r="G39">
        <f>IF(G38&lt;=max_flow_kg_min,"да","НЕТ: снизить скорость")</f>
        <v/>
      </c>
      <c r="H39">
        <f>IF(H38&lt;=max_flow_kg_min,"да","НЕТ: снизить скорость")</f>
        <v/>
      </c>
      <c r="I39">
        <f>IF(I38&lt;=max_flow_kg_min,"да","НЕТ: снизить скорость")</f>
        <v/>
      </c>
      <c r="J39">
        <f>IF(J38&lt;=max_flow_kg_min,"да","НЕТ: снизить скорость")</f>
        <v/>
      </c>
      <c r="K39">
        <f>IF(K38&lt;=max_flow_kg_min,"да","НЕТ: снизить скорость")</f>
        <v/>
      </c>
      <c r="L39">
        <f>IF(L38&lt;=max_flow_kg_min,"да","НЕТ: снизить скорость")</f>
        <v/>
      </c>
      <c r="M39">
        <f>IF(M38&lt;=max_flow_kg_min,"да","НЕТ: снизить скорость")</f>
        <v/>
      </c>
      <c r="N39">
        <f>IF(N38&lt;=max_flow_kg_min,"да","НЕТ: снизить скорость")</f>
        <v/>
      </c>
      <c r="O39">
        <f>IF(O38&lt;=max_flow_kg_min,"да","НЕТ: снизить скорость")</f>
        <v/>
      </c>
      <c r="P39">
        <f>IF(P38&lt;=max_flow_kg_min,"да","НЕТ: снизить скорость")</f>
        <v/>
      </c>
      <c r="Q39">
        <f>IF(Q38&lt;=max_flow_kg_min,"да","НЕТ: снизить скорость")</f>
        <v/>
      </c>
      <c r="R39">
        <f>IF(R38&lt;=max_flow_kg_min,"да","НЕТ: снизить скорость")</f>
        <v/>
      </c>
      <c r="S39">
        <f>IF(S38&lt;=max_flow_kg_min,"да","НЕТ: снизить скорость")</f>
        <v/>
      </c>
      <c r="T39">
        <f>IF(T38&lt;=max_flow_kg_min,"да","НЕТ: снизить скорость")</f>
        <v/>
      </c>
      <c r="U39">
        <f>IF(U38&lt;=max_flow_kg_min,"да","НЕТ: снизить скорость")</f>
        <v/>
      </c>
      <c r="V39">
        <f>IF(V38&lt;=max_flow_kg_min,"да","НЕТ: снизить скорость")</f>
        <v/>
      </c>
      <c r="W39">
        <f>IF(W38&lt;=max_flow_kg_min,"да","НЕТ: снизить скорость")</f>
        <v/>
      </c>
      <c r="X39">
        <f>IF(X38&lt;=max_flow_kg_min,"да","НЕТ: снизить скорость")</f>
        <v/>
      </c>
      <c r="Y39">
        <f>IF(Y38&lt;=max_flow_kg_min,"да","НЕТ: снизить скорость")</f>
        <v/>
      </c>
      <c r="Z39">
        <f>IF(Z38&lt;=max_flow_kg_min,"да","НЕТ: снизить скорость")</f>
        <v/>
      </c>
      <c r="AA39">
        <f>IF(AA38&lt;=max_flow_kg_min,"да","НЕТ: снизить скорость")</f>
        <v/>
      </c>
      <c r="AB39">
        <f>IF(AB38&lt;=max_flow_kg_min,"да","НЕТ: снизить скорость")</f>
        <v/>
      </c>
      <c r="AC39">
        <f>IF(AC38&lt;=max_flow_kg_min,"да","НЕТ: снизить скорость")</f>
        <v/>
      </c>
    </row>
    <row r="40">
      <c r="A40" t="inlineStr">
        <is>
          <t>Доля цикла батареи за вылет</t>
        </is>
      </c>
      <c r="B40" t="inlineStr">
        <is>
          <t>доля</t>
        </is>
      </c>
      <c r="C40" s="9">
        <f>C30/cycle_equiv_min</f>
        <v/>
      </c>
      <c r="D40" s="9">
        <f>D30/cycle_equiv_min</f>
        <v/>
      </c>
      <c r="E40" s="9">
        <f>E30/cycle_equiv_min</f>
        <v/>
      </c>
      <c r="F40" s="9">
        <f>F30/cycle_equiv_min</f>
        <v/>
      </c>
      <c r="G40" s="9">
        <f>G30/cycle_equiv_min</f>
        <v/>
      </c>
      <c r="H40" s="9">
        <f>H30/cycle_equiv_min</f>
        <v/>
      </c>
      <c r="I40" s="9">
        <f>I30/cycle_equiv_min</f>
        <v/>
      </c>
      <c r="J40" s="9">
        <f>J30/cycle_equiv_min</f>
        <v/>
      </c>
      <c r="K40" s="9">
        <f>K30/cycle_equiv_min</f>
        <v/>
      </c>
      <c r="L40" s="9">
        <f>L30/cycle_equiv_min</f>
        <v/>
      </c>
      <c r="M40" s="9">
        <f>M30/cycle_equiv_min</f>
        <v/>
      </c>
      <c r="N40" s="9">
        <f>N30/cycle_equiv_min</f>
        <v/>
      </c>
      <c r="O40" s="9">
        <f>O30/cycle_equiv_min</f>
        <v/>
      </c>
      <c r="P40" s="9">
        <f>P30/cycle_equiv_min</f>
        <v/>
      </c>
      <c r="Q40" s="9">
        <f>Q30/cycle_equiv_min</f>
        <v/>
      </c>
      <c r="R40" s="9">
        <f>R30/cycle_equiv_min</f>
        <v/>
      </c>
      <c r="S40" s="9">
        <f>S30/cycle_equiv_min</f>
        <v/>
      </c>
      <c r="T40" s="9">
        <f>T30/cycle_equiv_min</f>
        <v/>
      </c>
      <c r="U40" s="9">
        <f>U30/cycle_equiv_min</f>
        <v/>
      </c>
      <c r="V40" s="9">
        <f>V30/cycle_equiv_min</f>
        <v/>
      </c>
      <c r="W40" s="9">
        <f>W30/cycle_equiv_min</f>
        <v/>
      </c>
      <c r="X40" s="9">
        <f>X30/cycle_equiv_min</f>
        <v/>
      </c>
      <c r="Y40" s="9">
        <f>Y30/cycle_equiv_min</f>
        <v/>
      </c>
      <c r="Z40" s="9">
        <f>Z30/cycle_equiv_min</f>
        <v/>
      </c>
      <c r="AA40" s="9">
        <f>AA30/cycle_equiv_min</f>
        <v/>
      </c>
      <c r="AB40" s="9">
        <f>AB30/cycle_equiv_min</f>
        <v/>
      </c>
      <c r="AC40" s="9">
        <f>AC30/cycle_equiv_min</f>
        <v/>
      </c>
    </row>
    <row r="41">
      <c r="A41" t="inlineStr">
        <is>
          <t>Полных зарядок батарей за день</t>
        </is>
      </c>
      <c r="B41" t="inlineStr">
        <is>
          <t>шт</t>
        </is>
      </c>
      <c r="C41" s="9">
        <f>C36*C40</f>
        <v/>
      </c>
      <c r="D41" s="9">
        <f>D36*D40</f>
        <v/>
      </c>
      <c r="E41" s="9">
        <f>E36*E40</f>
        <v/>
      </c>
      <c r="F41" s="9">
        <f>F36*F40</f>
        <v/>
      </c>
      <c r="G41" s="9">
        <f>G36*G40</f>
        <v/>
      </c>
      <c r="H41" s="9">
        <f>H36*H40</f>
        <v/>
      </c>
      <c r="I41" s="9">
        <f>I36*I40</f>
        <v/>
      </c>
      <c r="J41" s="9">
        <f>J36*J40</f>
        <v/>
      </c>
      <c r="K41" s="9">
        <f>K36*K40</f>
        <v/>
      </c>
      <c r="L41" s="9">
        <f>L36*L40</f>
        <v/>
      </c>
      <c r="M41" s="9">
        <f>M36*M40</f>
        <v/>
      </c>
      <c r="N41" s="9">
        <f>N36*N40</f>
        <v/>
      </c>
      <c r="O41" s="9">
        <f>O36*O40</f>
        <v/>
      </c>
      <c r="P41" s="9">
        <f>P36*P40</f>
        <v/>
      </c>
      <c r="Q41" s="9">
        <f>Q36*Q40</f>
        <v/>
      </c>
      <c r="R41" s="9">
        <f>R36*R40</f>
        <v/>
      </c>
      <c r="S41" s="9">
        <f>S36*S40</f>
        <v/>
      </c>
      <c r="T41" s="9">
        <f>T36*T40</f>
        <v/>
      </c>
      <c r="U41" s="9">
        <f>U36*U40</f>
        <v/>
      </c>
      <c r="V41" s="9">
        <f>V36*V40</f>
        <v/>
      </c>
      <c r="W41" s="9">
        <f>W36*W40</f>
        <v/>
      </c>
      <c r="X41" s="9">
        <f>X36*X40</f>
        <v/>
      </c>
      <c r="Y41" s="9">
        <f>Y36*Y40</f>
        <v/>
      </c>
      <c r="Z41" s="9">
        <f>Z36*Z40</f>
        <v/>
      </c>
      <c r="AA41" s="9">
        <f>AA36*AA40</f>
        <v/>
      </c>
      <c r="AB41" s="9">
        <f>AB36*AB40</f>
        <v/>
      </c>
      <c r="AC41" s="9">
        <f>AC36*AC40</f>
        <v/>
      </c>
    </row>
    <row r="42">
      <c r="A42" s="3" t="inlineStr">
        <is>
          <t>ЗАТРАТЫ НА ОДИН ВЫЛЕТ</t>
        </is>
      </c>
      <c r="B42" s="2" t="inlineStr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</row>
    <row r="43">
      <c r="A43" t="inlineStr">
        <is>
          <t>Износ батареи</t>
        </is>
      </c>
      <c r="B43" t="inlineStr">
        <is>
          <t>сум</t>
        </is>
      </c>
      <c r="C43" s="10">
        <f>C19*usd_rate/C22*C40</f>
        <v/>
      </c>
      <c r="D43" s="10">
        <f>D19*usd_rate/D22*D40</f>
        <v/>
      </c>
      <c r="E43" s="10">
        <f>E19*usd_rate/E22*E40</f>
        <v/>
      </c>
      <c r="F43" s="10">
        <f>F19*usd_rate/F22*F40</f>
        <v/>
      </c>
      <c r="G43" s="10">
        <f>G19*usd_rate/G22*G40</f>
        <v/>
      </c>
      <c r="H43" s="10">
        <f>H19*usd_rate/H22*H40</f>
        <v/>
      </c>
      <c r="I43" s="10">
        <f>I19*usd_rate/I22*I40</f>
        <v/>
      </c>
      <c r="J43" s="10">
        <f>J19*usd_rate/J22*J40</f>
        <v/>
      </c>
      <c r="K43" s="10">
        <f>K19*usd_rate/K22*K40</f>
        <v/>
      </c>
      <c r="L43" s="10">
        <f>L19*usd_rate/L22*L40</f>
        <v/>
      </c>
      <c r="M43" s="10">
        <f>M19*usd_rate/M22*M40</f>
        <v/>
      </c>
      <c r="N43" s="10">
        <f>N19*usd_rate/N22*N40</f>
        <v/>
      </c>
      <c r="O43" s="10">
        <f>O19*usd_rate/O22*O40</f>
        <v/>
      </c>
      <c r="P43" s="10">
        <f>P19*usd_rate/P22*P40</f>
        <v/>
      </c>
      <c r="Q43" s="10">
        <f>Q19*usd_rate/Q22*Q40</f>
        <v/>
      </c>
      <c r="R43" s="10">
        <f>R19*usd_rate/R22*R40</f>
        <v/>
      </c>
      <c r="S43" s="10">
        <f>S19*usd_rate/S22*S40</f>
        <v/>
      </c>
      <c r="T43" s="10">
        <f>T19*usd_rate/T22*T40</f>
        <v/>
      </c>
      <c r="U43" s="10">
        <f>U19*usd_rate/U22*U40</f>
        <v/>
      </c>
      <c r="V43" s="10">
        <f>V19*usd_rate/V22*V40</f>
        <v/>
      </c>
      <c r="W43" s="10">
        <f>W19*usd_rate/W22*W40</f>
        <v/>
      </c>
      <c r="X43" s="10">
        <f>X19*usd_rate/X22*X40</f>
        <v/>
      </c>
      <c r="Y43" s="10">
        <f>Y19*usd_rate/Y22*Y40</f>
        <v/>
      </c>
      <c r="Z43" s="10">
        <f>Z19*usd_rate/Z22*Z40</f>
        <v/>
      </c>
      <c r="AA43" s="10">
        <f>AA19*usd_rate/AA22*AA40</f>
        <v/>
      </c>
      <c r="AB43" s="10">
        <f>AB19*usd_rate/AB22*AB40</f>
        <v/>
      </c>
      <c r="AC43" s="10">
        <f>AC19*usd_rate/AC22*AC40</f>
        <v/>
      </c>
    </row>
    <row r="44">
      <c r="A44" t="inlineStr">
        <is>
          <t>Бензин генератора</t>
        </is>
      </c>
      <c r="B44" t="inlineStr">
        <is>
          <t>сум</t>
        </is>
      </c>
      <c r="C44" s="10">
        <f>battery_kwh*C40/charge_eff*gen_l_per_kwh*C21</f>
        <v/>
      </c>
      <c r="D44" s="10">
        <f>battery_kwh*D40/charge_eff*gen_l_per_kwh*D21</f>
        <v/>
      </c>
      <c r="E44" s="10">
        <f>battery_kwh*E40/charge_eff*gen_l_per_kwh*E21</f>
        <v/>
      </c>
      <c r="F44" s="10">
        <f>battery_kwh*F40/charge_eff*gen_l_per_kwh*F21</f>
        <v/>
      </c>
      <c r="G44" s="10">
        <f>battery_kwh*G40/charge_eff*gen_l_per_kwh*G21</f>
        <v/>
      </c>
      <c r="H44" s="10">
        <f>battery_kwh*H40/charge_eff*gen_l_per_kwh*H21</f>
        <v/>
      </c>
      <c r="I44" s="10">
        <f>battery_kwh*I40/charge_eff*gen_l_per_kwh*I21</f>
        <v/>
      </c>
      <c r="J44" s="10">
        <f>battery_kwh*J40/charge_eff*gen_l_per_kwh*J21</f>
        <v/>
      </c>
      <c r="K44" s="10">
        <f>battery_kwh*K40/charge_eff*gen_l_per_kwh*K21</f>
        <v/>
      </c>
      <c r="L44" s="10">
        <f>battery_kwh*L40/charge_eff*gen_l_per_kwh*L21</f>
        <v/>
      </c>
      <c r="M44" s="10">
        <f>battery_kwh*M40/charge_eff*gen_l_per_kwh*M21</f>
        <v/>
      </c>
      <c r="N44" s="10">
        <f>battery_kwh*N40/charge_eff*gen_l_per_kwh*N21</f>
        <v/>
      </c>
      <c r="O44" s="10">
        <f>battery_kwh*O40/charge_eff*gen_l_per_kwh*O21</f>
        <v/>
      </c>
      <c r="P44" s="10">
        <f>battery_kwh*P40/charge_eff*gen_l_per_kwh*P21</f>
        <v/>
      </c>
      <c r="Q44" s="10">
        <f>battery_kwh*Q40/charge_eff*gen_l_per_kwh*Q21</f>
        <v/>
      </c>
      <c r="R44" s="10">
        <f>battery_kwh*R40/charge_eff*gen_l_per_kwh*R21</f>
        <v/>
      </c>
      <c r="S44" s="10">
        <f>battery_kwh*S40/charge_eff*gen_l_per_kwh*S21</f>
        <v/>
      </c>
      <c r="T44" s="10">
        <f>battery_kwh*T40/charge_eff*gen_l_per_kwh*T21</f>
        <v/>
      </c>
      <c r="U44" s="10">
        <f>battery_kwh*U40/charge_eff*gen_l_per_kwh*U21</f>
        <v/>
      </c>
      <c r="V44" s="10">
        <f>battery_kwh*V40/charge_eff*gen_l_per_kwh*V21</f>
        <v/>
      </c>
      <c r="W44" s="10">
        <f>battery_kwh*W40/charge_eff*gen_l_per_kwh*W21</f>
        <v/>
      </c>
      <c r="X44" s="10">
        <f>battery_kwh*X40/charge_eff*gen_l_per_kwh*X21</f>
        <v/>
      </c>
      <c r="Y44" s="10">
        <f>battery_kwh*Y40/charge_eff*gen_l_per_kwh*Y21</f>
        <v/>
      </c>
      <c r="Z44" s="10">
        <f>battery_kwh*Z40/charge_eff*gen_l_per_kwh*Z21</f>
        <v/>
      </c>
      <c r="AA44" s="10">
        <f>battery_kwh*AA40/charge_eff*gen_l_per_kwh*AA21</f>
        <v/>
      </c>
      <c r="AB44" s="10">
        <f>battery_kwh*AB40/charge_eff*gen_l_per_kwh*AB21</f>
        <v/>
      </c>
      <c r="AC44" s="10">
        <f>battery_kwh*AC40/charge_eff*gen_l_per_kwh*AC21</f>
        <v/>
      </c>
    </row>
    <row r="45">
      <c r="A45" t="inlineStr">
        <is>
          <t>Износ дрона (с надбавкой за удобрения)</t>
        </is>
      </c>
      <c r="B45" t="inlineStr">
        <is>
          <t>сум</t>
        </is>
      </c>
      <c r="C45" s="10">
        <f>drone_wear_usd_h*usd_rate*C30/60*(1+fert_wear_premium)</f>
        <v/>
      </c>
      <c r="D45" s="10">
        <f>drone_wear_usd_h*usd_rate*D30/60*(1+fert_wear_premium)</f>
        <v/>
      </c>
      <c r="E45" s="10">
        <f>drone_wear_usd_h*usd_rate*E30/60*(1+fert_wear_premium)</f>
        <v/>
      </c>
      <c r="F45" s="10">
        <f>drone_wear_usd_h*usd_rate*F30/60*(1+fert_wear_premium)</f>
        <v/>
      </c>
      <c r="G45" s="10">
        <f>drone_wear_usd_h*usd_rate*G30/60*(1+fert_wear_premium)</f>
        <v/>
      </c>
      <c r="H45" s="10">
        <f>drone_wear_usd_h*usd_rate*H30/60*(1+fert_wear_premium)</f>
        <v/>
      </c>
      <c r="I45" s="10">
        <f>drone_wear_usd_h*usd_rate*I30/60*(1+fert_wear_premium)</f>
        <v/>
      </c>
      <c r="J45" s="10">
        <f>drone_wear_usd_h*usd_rate*J30/60*(1+fert_wear_premium)</f>
        <v/>
      </c>
      <c r="K45" s="10">
        <f>drone_wear_usd_h*usd_rate*K30/60*(1+fert_wear_premium)</f>
        <v/>
      </c>
      <c r="L45" s="10">
        <f>drone_wear_usd_h*usd_rate*L30/60*(1+fert_wear_premium)</f>
        <v/>
      </c>
      <c r="M45" s="10">
        <f>drone_wear_usd_h*usd_rate*M30/60*(1+fert_wear_premium)</f>
        <v/>
      </c>
      <c r="N45" s="10">
        <f>drone_wear_usd_h*usd_rate*N30/60*(1+fert_wear_premium)</f>
        <v/>
      </c>
      <c r="O45" s="10">
        <f>drone_wear_usd_h*usd_rate*O30/60*(1+fert_wear_premium)</f>
        <v/>
      </c>
      <c r="P45" s="10">
        <f>drone_wear_usd_h*usd_rate*P30/60*(1+fert_wear_premium)</f>
        <v/>
      </c>
      <c r="Q45" s="10">
        <f>drone_wear_usd_h*usd_rate*Q30/60*(1+fert_wear_premium)</f>
        <v/>
      </c>
      <c r="R45" s="10">
        <f>drone_wear_usd_h*usd_rate*R30/60*(1+fert_wear_premium)</f>
        <v/>
      </c>
      <c r="S45" s="10">
        <f>drone_wear_usd_h*usd_rate*S30/60*(1+fert_wear_premium)</f>
        <v/>
      </c>
      <c r="T45" s="10">
        <f>drone_wear_usd_h*usd_rate*T30/60*(1+fert_wear_premium)</f>
        <v/>
      </c>
      <c r="U45" s="10">
        <f>drone_wear_usd_h*usd_rate*U30/60*(1+fert_wear_premium)</f>
        <v/>
      </c>
      <c r="V45" s="10">
        <f>drone_wear_usd_h*usd_rate*V30/60*(1+fert_wear_premium)</f>
        <v/>
      </c>
      <c r="W45" s="10">
        <f>drone_wear_usd_h*usd_rate*W30/60*(1+fert_wear_premium)</f>
        <v/>
      </c>
      <c r="X45" s="10">
        <f>drone_wear_usd_h*usd_rate*X30/60*(1+fert_wear_premium)</f>
        <v/>
      </c>
      <c r="Y45" s="10">
        <f>drone_wear_usd_h*usd_rate*Y30/60*(1+fert_wear_premium)</f>
        <v/>
      </c>
      <c r="Z45" s="10">
        <f>drone_wear_usd_h*usd_rate*Z30/60*(1+fert_wear_premium)</f>
        <v/>
      </c>
      <c r="AA45" s="10">
        <f>drone_wear_usd_h*usd_rate*AA30/60*(1+fert_wear_premium)</f>
        <v/>
      </c>
      <c r="AB45" s="10">
        <f>drone_wear_usd_h*usd_rate*AB30/60*(1+fert_wear_premium)</f>
        <v/>
      </c>
      <c r="AC45" s="10">
        <f>drone_wear_usd_h*usd_rate*AC30/60*(1+fert_wear_premium)</f>
        <v/>
      </c>
    </row>
    <row r="46">
      <c r="A46" t="inlineStr">
        <is>
          <t>Итого на вылет</t>
        </is>
      </c>
      <c r="B46" t="inlineStr">
        <is>
          <t>сум</t>
        </is>
      </c>
      <c r="C46" s="10">
        <f>C43+C44+C45</f>
        <v/>
      </c>
      <c r="D46" s="10">
        <f>D43+D44+D45</f>
        <v/>
      </c>
      <c r="E46" s="10">
        <f>E43+E44+E45</f>
        <v/>
      </c>
      <c r="F46" s="10">
        <f>F43+F44+F45</f>
        <v/>
      </c>
      <c r="G46" s="10">
        <f>G43+G44+G45</f>
        <v/>
      </c>
      <c r="H46" s="10">
        <f>H43+H44+H45</f>
        <v/>
      </c>
      <c r="I46" s="10">
        <f>I43+I44+I45</f>
        <v/>
      </c>
      <c r="J46" s="10">
        <f>J43+J44+J45</f>
        <v/>
      </c>
      <c r="K46" s="10">
        <f>K43+K44+K45</f>
        <v/>
      </c>
      <c r="L46" s="10">
        <f>L43+L44+L45</f>
        <v/>
      </c>
      <c r="M46" s="10">
        <f>M43+M44+M45</f>
        <v/>
      </c>
      <c r="N46" s="10">
        <f>N43+N44+N45</f>
        <v/>
      </c>
      <c r="O46" s="10">
        <f>O43+O44+O45</f>
        <v/>
      </c>
      <c r="P46" s="10">
        <f>P43+P44+P45</f>
        <v/>
      </c>
      <c r="Q46" s="10">
        <f>Q43+Q44+Q45</f>
        <v/>
      </c>
      <c r="R46" s="10">
        <f>R43+R44+R45</f>
        <v/>
      </c>
      <c r="S46" s="10">
        <f>S43+S44+S45</f>
        <v/>
      </c>
      <c r="T46" s="10">
        <f>T43+T44+T45</f>
        <v/>
      </c>
      <c r="U46" s="10">
        <f>U43+U44+U45</f>
        <v/>
      </c>
      <c r="V46" s="10">
        <f>V43+V44+V45</f>
        <v/>
      </c>
      <c r="W46" s="10">
        <f>W43+W44+W45</f>
        <v/>
      </c>
      <c r="X46" s="10">
        <f>X43+X44+X45</f>
        <v/>
      </c>
      <c r="Y46" s="10">
        <f>Y43+Y44+Y45</f>
        <v/>
      </c>
      <c r="Z46" s="10">
        <f>Z43+Z44+Z45</f>
        <v/>
      </c>
      <c r="AA46" s="10">
        <f>AA43+AA44+AA45</f>
        <v/>
      </c>
      <c r="AB46" s="10">
        <f>AB43+AB44+AB45</f>
        <v/>
      </c>
      <c r="AC46" s="10">
        <f>AC43+AC44+AC45</f>
        <v/>
      </c>
    </row>
    <row r="47">
      <c r="A47" s="3" t="inlineStr">
        <is>
          <t>ЗАТРАТЫ НА РАБОЧИЙ ДЕНЬ</t>
        </is>
      </c>
      <c r="B47" s="2" t="inlineStr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</row>
    <row r="48">
      <c r="A48" t="inlineStr">
        <is>
          <t>Экипаж, транспорт, прочее</t>
        </is>
      </c>
      <c r="B48" t="inlineStr">
        <is>
          <t>сум</t>
        </is>
      </c>
      <c r="C48" s="10">
        <f>C20+helpers_count*helper_day+vehicle_km*(diesel_l_100km/100*diesel_price+vehicle_wear_km)+per_diem_day+other_day</f>
        <v/>
      </c>
      <c r="D48" s="10">
        <f>D20+helpers_count*helper_day+vehicle_km*(diesel_l_100km/100*diesel_price+vehicle_wear_km)+per_diem_day+other_day</f>
        <v/>
      </c>
      <c r="E48" s="10">
        <f>E20+helpers_count*helper_day+vehicle_km*(diesel_l_100km/100*diesel_price+vehicle_wear_km)+per_diem_day+other_day</f>
        <v/>
      </c>
      <c r="F48" s="10">
        <f>F20+helpers_count*helper_day+vehicle_km*(diesel_l_100km/100*diesel_price+vehicle_wear_km)+per_diem_day+other_day</f>
        <v/>
      </c>
      <c r="G48" s="10">
        <f>G20+helpers_count*helper_day+vehicle_km*(diesel_l_100km/100*diesel_price+vehicle_wear_km)+per_diem_day+other_day</f>
        <v/>
      </c>
      <c r="H48" s="10">
        <f>H20+helpers_count*helper_day+vehicle_km*(diesel_l_100km/100*diesel_price+vehicle_wear_km)+per_diem_day+other_day</f>
        <v/>
      </c>
      <c r="I48" s="10">
        <f>I20+helpers_count*helper_day+vehicle_km*(diesel_l_100km/100*diesel_price+vehicle_wear_km)+per_diem_day+other_day</f>
        <v/>
      </c>
      <c r="J48" s="10">
        <f>J20+helpers_count*helper_day+vehicle_km*(diesel_l_100km/100*diesel_price+vehicle_wear_km)+per_diem_day+other_day</f>
        <v/>
      </c>
      <c r="K48" s="10">
        <f>K20+helpers_count*helper_day+vehicle_km*(diesel_l_100km/100*diesel_price+vehicle_wear_km)+per_diem_day+other_day</f>
        <v/>
      </c>
      <c r="L48" s="10">
        <f>L20+helpers_count*helper_day+vehicle_km*(diesel_l_100km/100*diesel_price+vehicle_wear_km)+per_diem_day+other_day</f>
        <v/>
      </c>
      <c r="M48" s="10">
        <f>M20+helpers_count*helper_day+vehicle_km*(diesel_l_100km/100*diesel_price+vehicle_wear_km)+per_diem_day+other_day</f>
        <v/>
      </c>
      <c r="N48" s="10">
        <f>N20+helpers_count*helper_day+vehicle_km*(diesel_l_100km/100*diesel_price+vehicle_wear_km)+per_diem_day+other_day</f>
        <v/>
      </c>
      <c r="O48" s="10">
        <f>O20+helpers_count*helper_day+vehicle_km*(diesel_l_100km/100*diesel_price+vehicle_wear_km)+per_diem_day+other_day</f>
        <v/>
      </c>
      <c r="P48" s="10">
        <f>P20+helpers_count*helper_day+vehicle_km*(diesel_l_100km/100*diesel_price+vehicle_wear_km)+per_diem_day+other_day</f>
        <v/>
      </c>
      <c r="Q48" s="10">
        <f>Q20+helpers_count*helper_day+vehicle_km*(diesel_l_100km/100*diesel_price+vehicle_wear_km)+per_diem_day+other_day</f>
        <v/>
      </c>
      <c r="R48" s="10">
        <f>R20+helpers_count*helper_day+vehicle_km*(diesel_l_100km/100*diesel_price+vehicle_wear_km)+per_diem_day+other_day</f>
        <v/>
      </c>
      <c r="S48" s="10">
        <f>S20+helpers_count*helper_day+vehicle_km*(diesel_l_100km/100*diesel_price+vehicle_wear_km)+per_diem_day+other_day</f>
        <v/>
      </c>
      <c r="T48" s="10">
        <f>T20+helpers_count*helper_day+vehicle_km*(diesel_l_100km/100*diesel_price+vehicle_wear_km)+per_diem_day+other_day</f>
        <v/>
      </c>
      <c r="U48" s="10">
        <f>U20+helpers_count*helper_day+vehicle_km*(diesel_l_100km/100*diesel_price+vehicle_wear_km)+per_diem_day+other_day</f>
        <v/>
      </c>
      <c r="V48" s="10">
        <f>V20+helpers_count*helper_day+vehicle_km*(diesel_l_100km/100*diesel_price+vehicle_wear_km)+per_diem_day+other_day</f>
        <v/>
      </c>
      <c r="W48" s="10">
        <f>W20+helpers_count*helper_day+vehicle_km*(diesel_l_100km/100*diesel_price+vehicle_wear_km)+per_diem_day+other_day</f>
        <v/>
      </c>
      <c r="X48" s="10">
        <f>X20+helpers_count*helper_day+vehicle_km*(diesel_l_100km/100*diesel_price+vehicle_wear_km)+per_diem_day+other_day</f>
        <v/>
      </c>
      <c r="Y48" s="10">
        <f>Y20+helpers_count*helper_day+vehicle_km*(diesel_l_100km/100*diesel_price+vehicle_wear_km)+per_diem_day+other_day</f>
        <v/>
      </c>
      <c r="Z48" s="10">
        <f>Z20+helpers_count*helper_day+vehicle_km*(diesel_l_100km/100*diesel_price+vehicle_wear_km)+per_diem_day+other_day</f>
        <v/>
      </c>
      <c r="AA48" s="10">
        <f>AA20+helpers_count*helper_day+vehicle_km*(diesel_l_100km/100*diesel_price+vehicle_wear_km)+per_diem_day+other_day</f>
        <v/>
      </c>
      <c r="AB48" s="10">
        <f>AB20+helpers_count*helper_day+vehicle_km*(diesel_l_100km/100*diesel_price+vehicle_wear_km)+per_diem_day+other_day</f>
        <v/>
      </c>
      <c r="AC48" s="10">
        <f>AC20+helpers_count*helper_day+vehicle_km*(diesel_l_100km/100*diesel_price+vehicle_wear_km)+per_diem_day+other_day</f>
        <v/>
      </c>
    </row>
    <row r="49">
      <c r="A49" t="inlineStr">
        <is>
          <t>Батареи, бензин, износ за все вылеты</t>
        </is>
      </c>
      <c r="B49" t="inlineStr">
        <is>
          <t>сум</t>
        </is>
      </c>
      <c r="C49" s="10">
        <f>C46*C36</f>
        <v/>
      </c>
      <c r="D49" s="10">
        <f>D46*D36</f>
        <v/>
      </c>
      <c r="E49" s="10">
        <f>E46*E36</f>
        <v/>
      </c>
      <c r="F49" s="10">
        <f>F46*F36</f>
        <v/>
      </c>
      <c r="G49" s="10">
        <f>G46*G36</f>
        <v/>
      </c>
      <c r="H49" s="10">
        <f>H46*H36</f>
        <v/>
      </c>
      <c r="I49" s="10">
        <f>I46*I36</f>
        <v/>
      </c>
      <c r="J49" s="10">
        <f>J46*J36</f>
        <v/>
      </c>
      <c r="K49" s="10">
        <f>K46*K36</f>
        <v/>
      </c>
      <c r="L49" s="10">
        <f>L46*L36</f>
        <v/>
      </c>
      <c r="M49" s="10">
        <f>M46*M36</f>
        <v/>
      </c>
      <c r="N49" s="10">
        <f>N46*N36</f>
        <v/>
      </c>
      <c r="O49" s="10">
        <f>O46*O36</f>
        <v/>
      </c>
      <c r="P49" s="10">
        <f>P46*P36</f>
        <v/>
      </c>
      <c r="Q49" s="10">
        <f>Q46*Q36</f>
        <v/>
      </c>
      <c r="R49" s="10">
        <f>R46*R36</f>
        <v/>
      </c>
      <c r="S49" s="10">
        <f>S46*S36</f>
        <v/>
      </c>
      <c r="T49" s="10">
        <f>T46*T36</f>
        <v/>
      </c>
      <c r="U49" s="10">
        <f>U46*U36</f>
        <v/>
      </c>
      <c r="V49" s="10">
        <f>V46*V36</f>
        <v/>
      </c>
      <c r="W49" s="10">
        <f>W46*W36</f>
        <v/>
      </c>
      <c r="X49" s="10">
        <f>X46*X36</f>
        <v/>
      </c>
      <c r="Y49" s="10">
        <f>Y46*Y36</f>
        <v/>
      </c>
      <c r="Z49" s="10">
        <f>Z46*Z36</f>
        <v/>
      </c>
      <c r="AA49" s="10">
        <f>AA46*AA36</f>
        <v/>
      </c>
      <c r="AB49" s="10">
        <f>AB46*AB36</f>
        <v/>
      </c>
      <c r="AC49" s="10">
        <f>AC46*AC36</f>
        <v/>
      </c>
    </row>
    <row r="50">
      <c r="A50" t="inlineStr">
        <is>
          <t>Амортизация разбрасывателя</t>
        </is>
      </c>
      <c r="B50" t="inlineStr">
        <is>
          <t>сум</t>
        </is>
      </c>
      <c r="C50" s="10">
        <f>spreader_price_usd*usd_rate/spreader_life_seasons/C23</f>
        <v/>
      </c>
      <c r="D50" s="10">
        <f>spreader_price_usd*usd_rate/spreader_life_seasons/D23</f>
        <v/>
      </c>
      <c r="E50" s="10">
        <f>spreader_price_usd*usd_rate/spreader_life_seasons/E23</f>
        <v/>
      </c>
      <c r="F50" s="10">
        <f>spreader_price_usd*usd_rate/spreader_life_seasons/F23</f>
        <v/>
      </c>
      <c r="G50" s="10">
        <f>spreader_price_usd*usd_rate/spreader_life_seasons/G23</f>
        <v/>
      </c>
      <c r="H50" s="10">
        <f>spreader_price_usd*usd_rate/spreader_life_seasons/H23</f>
        <v/>
      </c>
      <c r="I50" s="10">
        <f>spreader_price_usd*usd_rate/spreader_life_seasons/I23</f>
        <v/>
      </c>
      <c r="J50" s="10">
        <f>spreader_price_usd*usd_rate/spreader_life_seasons/J23</f>
        <v/>
      </c>
      <c r="K50" s="10">
        <f>spreader_price_usd*usd_rate/spreader_life_seasons/K23</f>
        <v/>
      </c>
      <c r="L50" s="10">
        <f>spreader_price_usd*usd_rate/spreader_life_seasons/L23</f>
        <v/>
      </c>
      <c r="M50" s="10">
        <f>spreader_price_usd*usd_rate/spreader_life_seasons/M23</f>
        <v/>
      </c>
      <c r="N50" s="10">
        <f>spreader_price_usd*usd_rate/spreader_life_seasons/N23</f>
        <v/>
      </c>
      <c r="O50" s="10">
        <f>spreader_price_usd*usd_rate/spreader_life_seasons/O23</f>
        <v/>
      </c>
      <c r="P50" s="10">
        <f>spreader_price_usd*usd_rate/spreader_life_seasons/P23</f>
        <v/>
      </c>
      <c r="Q50" s="10">
        <f>spreader_price_usd*usd_rate/spreader_life_seasons/Q23</f>
        <v/>
      </c>
      <c r="R50" s="10">
        <f>spreader_price_usd*usd_rate/spreader_life_seasons/R23</f>
        <v/>
      </c>
      <c r="S50" s="10">
        <f>spreader_price_usd*usd_rate/spreader_life_seasons/S23</f>
        <v/>
      </c>
      <c r="T50" s="10">
        <f>spreader_price_usd*usd_rate/spreader_life_seasons/T23</f>
        <v/>
      </c>
      <c r="U50" s="10">
        <f>spreader_price_usd*usd_rate/spreader_life_seasons/U23</f>
        <v/>
      </c>
      <c r="V50" s="10">
        <f>spreader_price_usd*usd_rate/spreader_life_seasons/V23</f>
        <v/>
      </c>
      <c r="W50" s="10">
        <f>spreader_price_usd*usd_rate/spreader_life_seasons/W23</f>
        <v/>
      </c>
      <c r="X50" s="10">
        <f>spreader_price_usd*usd_rate/spreader_life_seasons/X23</f>
        <v/>
      </c>
      <c r="Y50" s="10">
        <f>spreader_price_usd*usd_rate/spreader_life_seasons/Y23</f>
        <v/>
      </c>
      <c r="Z50" s="10">
        <f>spreader_price_usd*usd_rate/spreader_life_seasons/Z23</f>
        <v/>
      </c>
      <c r="AA50" s="10">
        <f>spreader_price_usd*usd_rate/spreader_life_seasons/AA23</f>
        <v/>
      </c>
      <c r="AB50" s="10">
        <f>spreader_price_usd*usd_rate/spreader_life_seasons/AB23</f>
        <v/>
      </c>
      <c r="AC50" s="10">
        <f>spreader_price_usd*usd_rate/spreader_life_seasons/AC23</f>
        <v/>
      </c>
    </row>
    <row r="51">
      <c r="A51" t="inlineStr">
        <is>
          <t>Амортизация дрона (зимняя доля)</t>
        </is>
      </c>
      <c r="B51" t="inlineStr">
        <is>
          <t>сум</t>
        </is>
      </c>
      <c r="C51" s="10">
        <f>drone_price_usd*usd_rate/drone_life_years*drone_dep_winter_share/C23</f>
        <v/>
      </c>
      <c r="D51" s="10">
        <f>drone_price_usd*usd_rate/drone_life_years*drone_dep_winter_share/D23</f>
        <v/>
      </c>
      <c r="E51" s="10">
        <f>drone_price_usd*usd_rate/drone_life_years*drone_dep_winter_share/E23</f>
        <v/>
      </c>
      <c r="F51" s="10">
        <f>drone_price_usd*usd_rate/drone_life_years*drone_dep_winter_share/F23</f>
        <v/>
      </c>
      <c r="G51" s="10">
        <f>drone_price_usd*usd_rate/drone_life_years*drone_dep_winter_share/G23</f>
        <v/>
      </c>
      <c r="H51" s="10">
        <f>drone_price_usd*usd_rate/drone_life_years*drone_dep_winter_share/H23</f>
        <v/>
      </c>
      <c r="I51" s="10">
        <f>drone_price_usd*usd_rate/drone_life_years*drone_dep_winter_share/I23</f>
        <v/>
      </c>
      <c r="J51" s="10">
        <f>drone_price_usd*usd_rate/drone_life_years*drone_dep_winter_share/J23</f>
        <v/>
      </c>
      <c r="K51" s="10">
        <f>drone_price_usd*usd_rate/drone_life_years*drone_dep_winter_share/K23</f>
        <v/>
      </c>
      <c r="L51" s="10">
        <f>drone_price_usd*usd_rate/drone_life_years*drone_dep_winter_share/L23</f>
        <v/>
      </c>
      <c r="M51" s="10">
        <f>drone_price_usd*usd_rate/drone_life_years*drone_dep_winter_share/M23</f>
        <v/>
      </c>
      <c r="N51" s="10">
        <f>drone_price_usd*usd_rate/drone_life_years*drone_dep_winter_share/N23</f>
        <v/>
      </c>
      <c r="O51" s="10">
        <f>drone_price_usd*usd_rate/drone_life_years*drone_dep_winter_share/O23</f>
        <v/>
      </c>
      <c r="P51" s="10">
        <f>drone_price_usd*usd_rate/drone_life_years*drone_dep_winter_share/P23</f>
        <v/>
      </c>
      <c r="Q51" s="10">
        <f>drone_price_usd*usd_rate/drone_life_years*drone_dep_winter_share/Q23</f>
        <v/>
      </c>
      <c r="R51" s="10">
        <f>drone_price_usd*usd_rate/drone_life_years*drone_dep_winter_share/R23</f>
        <v/>
      </c>
      <c r="S51" s="10">
        <f>drone_price_usd*usd_rate/drone_life_years*drone_dep_winter_share/S23</f>
        <v/>
      </c>
      <c r="T51" s="10">
        <f>drone_price_usd*usd_rate/drone_life_years*drone_dep_winter_share/T23</f>
        <v/>
      </c>
      <c r="U51" s="10">
        <f>drone_price_usd*usd_rate/drone_life_years*drone_dep_winter_share/U23</f>
        <v/>
      </c>
      <c r="V51" s="10">
        <f>drone_price_usd*usd_rate/drone_life_years*drone_dep_winter_share/V23</f>
        <v/>
      </c>
      <c r="W51" s="10">
        <f>drone_price_usd*usd_rate/drone_life_years*drone_dep_winter_share/W23</f>
        <v/>
      </c>
      <c r="X51" s="10">
        <f>drone_price_usd*usd_rate/drone_life_years*drone_dep_winter_share/X23</f>
        <v/>
      </c>
      <c r="Y51" s="10">
        <f>drone_price_usd*usd_rate/drone_life_years*drone_dep_winter_share/Y23</f>
        <v/>
      </c>
      <c r="Z51" s="10">
        <f>drone_price_usd*usd_rate/drone_life_years*drone_dep_winter_share/Z23</f>
        <v/>
      </c>
      <c r="AA51" s="10">
        <f>drone_price_usd*usd_rate/drone_life_years*drone_dep_winter_share/AA23</f>
        <v/>
      </c>
      <c r="AB51" s="10">
        <f>drone_price_usd*usd_rate/drone_life_years*drone_dep_winter_share/AB23</f>
        <v/>
      </c>
      <c r="AC51" s="10">
        <f>drone_price_usd*usd_rate/drone_life_years*drone_dep_winter_share/AC23</f>
        <v/>
      </c>
    </row>
    <row r="52">
      <c r="A52" t="inlineStr">
        <is>
          <t>Итого за день</t>
        </is>
      </c>
      <c r="B52" t="inlineStr">
        <is>
          <t>сум</t>
        </is>
      </c>
      <c r="C52" s="10">
        <f>C48+C49+C50+C51</f>
        <v/>
      </c>
      <c r="D52" s="10">
        <f>D48+D49+D50+D51</f>
        <v/>
      </c>
      <c r="E52" s="10">
        <f>E48+E49+E50+E51</f>
        <v/>
      </c>
      <c r="F52" s="10">
        <f>F48+F49+F50+F51</f>
        <v/>
      </c>
      <c r="G52" s="10">
        <f>G48+G49+G50+G51</f>
        <v/>
      </c>
      <c r="H52" s="10">
        <f>H48+H49+H50+H51</f>
        <v/>
      </c>
      <c r="I52" s="10">
        <f>I48+I49+I50+I51</f>
        <v/>
      </c>
      <c r="J52" s="10">
        <f>J48+J49+J50+J51</f>
        <v/>
      </c>
      <c r="K52" s="10">
        <f>K48+K49+K50+K51</f>
        <v/>
      </c>
      <c r="L52" s="10">
        <f>L48+L49+L50+L51</f>
        <v/>
      </c>
      <c r="M52" s="10">
        <f>M48+M49+M50+M51</f>
        <v/>
      </c>
      <c r="N52" s="10">
        <f>N48+N49+N50+N51</f>
        <v/>
      </c>
      <c r="O52" s="10">
        <f>O48+O49+O50+O51</f>
        <v/>
      </c>
      <c r="P52" s="10">
        <f>P48+P49+P50+P51</f>
        <v/>
      </c>
      <c r="Q52" s="10">
        <f>Q48+Q49+Q50+Q51</f>
        <v/>
      </c>
      <c r="R52" s="10">
        <f>R48+R49+R50+R51</f>
        <v/>
      </c>
      <c r="S52" s="10">
        <f>S48+S49+S50+S51</f>
        <v/>
      </c>
      <c r="T52" s="10">
        <f>T48+T49+T50+T51</f>
        <v/>
      </c>
      <c r="U52" s="10">
        <f>U48+U49+U50+U51</f>
        <v/>
      </c>
      <c r="V52" s="10">
        <f>V48+V49+V50+V51</f>
        <v/>
      </c>
      <c r="W52" s="10">
        <f>W48+W49+W50+W51</f>
        <v/>
      </c>
      <c r="X52" s="10">
        <f>X48+X49+X50+X51</f>
        <v/>
      </c>
      <c r="Y52" s="10">
        <f>Y48+Y49+Y50+Y51</f>
        <v/>
      </c>
      <c r="Z52" s="10">
        <f>Z48+Z49+Z50+Z51</f>
        <v/>
      </c>
      <c r="AA52" s="10">
        <f>AA48+AA49+AA50+AA51</f>
        <v/>
      </c>
      <c r="AB52" s="10">
        <f>AB48+AB49+AB50+AB51</f>
        <v/>
      </c>
      <c r="AC52" s="10">
        <f>AC48+AC49+AC50+AC51</f>
        <v/>
      </c>
    </row>
    <row r="53">
      <c r="A53" s="3" t="inlineStr">
        <is>
          <t>СЕБЕСТОИМОСТЬ И ТАРИФ НА ГЕКТАР</t>
        </is>
      </c>
      <c r="B53" s="2" t="inlineStr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</row>
    <row r="54">
      <c r="A54" t="inlineStr">
        <is>
          <t>Батареи, бензин, износ</t>
        </is>
      </c>
      <c r="B54" t="inlineStr">
        <is>
          <t>сум/га</t>
        </is>
      </c>
      <c r="C54" s="10">
        <f>C46*C27</f>
        <v/>
      </c>
      <c r="D54" s="10">
        <f>D46*D27</f>
        <v/>
      </c>
      <c r="E54" s="10">
        <f>E46*E27</f>
        <v/>
      </c>
      <c r="F54" s="10">
        <f>F46*F27</f>
        <v/>
      </c>
      <c r="G54" s="10">
        <f>G46*G27</f>
        <v/>
      </c>
      <c r="H54" s="10">
        <f>H46*H27</f>
        <v/>
      </c>
      <c r="I54" s="10">
        <f>I46*I27</f>
        <v/>
      </c>
      <c r="J54" s="10">
        <f>J46*J27</f>
        <v/>
      </c>
      <c r="K54" s="10">
        <f>K46*K27</f>
        <v/>
      </c>
      <c r="L54" s="10">
        <f>L46*L27</f>
        <v/>
      </c>
      <c r="M54" s="10">
        <f>M46*M27</f>
        <v/>
      </c>
      <c r="N54" s="10">
        <f>N46*N27</f>
        <v/>
      </c>
      <c r="O54" s="10">
        <f>O46*O27</f>
        <v/>
      </c>
      <c r="P54" s="10">
        <f>P46*P27</f>
        <v/>
      </c>
      <c r="Q54" s="10">
        <f>Q46*Q27</f>
        <v/>
      </c>
      <c r="R54" s="10">
        <f>R46*R27</f>
        <v/>
      </c>
      <c r="S54" s="10">
        <f>S46*S27</f>
        <v/>
      </c>
      <c r="T54" s="10">
        <f>T46*T27</f>
        <v/>
      </c>
      <c r="U54" s="10">
        <f>U46*U27</f>
        <v/>
      </c>
      <c r="V54" s="10">
        <f>V46*V27</f>
        <v/>
      </c>
      <c r="W54" s="10">
        <f>W46*W27</f>
        <v/>
      </c>
      <c r="X54" s="10">
        <f>X46*X27</f>
        <v/>
      </c>
      <c r="Y54" s="10">
        <f>Y46*Y27</f>
        <v/>
      </c>
      <c r="Z54" s="10">
        <f>Z46*Z27</f>
        <v/>
      </c>
      <c r="AA54" s="10">
        <f>AA46*AA27</f>
        <v/>
      </c>
      <c r="AB54" s="10">
        <f>AB46*AB27</f>
        <v/>
      </c>
      <c r="AC54" s="10">
        <f>AC46*AC27</f>
        <v/>
      </c>
    </row>
    <row r="55">
      <c r="A55" t="inlineStr">
        <is>
          <t>Экипаж, транспорт, прочее</t>
        </is>
      </c>
      <c r="B55" t="inlineStr">
        <is>
          <t>сум/га</t>
        </is>
      </c>
      <c r="C55" s="10">
        <f>C48/C35</f>
        <v/>
      </c>
      <c r="D55" s="10">
        <f>D48/D35</f>
        <v/>
      </c>
      <c r="E55" s="10">
        <f>E48/E35</f>
        <v/>
      </c>
      <c r="F55" s="10">
        <f>F48/F35</f>
        <v/>
      </c>
      <c r="G55" s="10">
        <f>G48/G35</f>
        <v/>
      </c>
      <c r="H55" s="10">
        <f>H48/H35</f>
        <v/>
      </c>
      <c r="I55" s="10">
        <f>I48/I35</f>
        <v/>
      </c>
      <c r="J55" s="10">
        <f>J48/J35</f>
        <v/>
      </c>
      <c r="K55" s="10">
        <f>K48/K35</f>
        <v/>
      </c>
      <c r="L55" s="10">
        <f>L48/L35</f>
        <v/>
      </c>
      <c r="M55" s="10">
        <f>M48/M35</f>
        <v/>
      </c>
      <c r="N55" s="10">
        <f>N48/N35</f>
        <v/>
      </c>
      <c r="O55" s="10">
        <f>O48/O35</f>
        <v/>
      </c>
      <c r="P55" s="10">
        <f>P48/P35</f>
        <v/>
      </c>
      <c r="Q55" s="10">
        <f>Q48/Q35</f>
        <v/>
      </c>
      <c r="R55" s="10">
        <f>R48/R35</f>
        <v/>
      </c>
      <c r="S55" s="10">
        <f>S48/S35</f>
        <v/>
      </c>
      <c r="T55" s="10">
        <f>T48/T35</f>
        <v/>
      </c>
      <c r="U55" s="10">
        <f>U48/U35</f>
        <v/>
      </c>
      <c r="V55" s="10">
        <f>V48/V35</f>
        <v/>
      </c>
      <c r="W55" s="10">
        <f>W48/W35</f>
        <v/>
      </c>
      <c r="X55" s="10">
        <f>X48/X35</f>
        <v/>
      </c>
      <c r="Y55" s="10">
        <f>Y48/Y35</f>
        <v/>
      </c>
      <c r="Z55" s="10">
        <f>Z48/Z35</f>
        <v/>
      </c>
      <c r="AA55" s="10">
        <f>AA48/AA35</f>
        <v/>
      </c>
      <c r="AB55" s="10">
        <f>AB48/AB35</f>
        <v/>
      </c>
      <c r="AC55" s="10">
        <f>AC48/AC35</f>
        <v/>
      </c>
    </row>
    <row r="56">
      <c r="A56" t="inlineStr">
        <is>
          <t>Амортизация разбрасывателя</t>
        </is>
      </c>
      <c r="B56" t="inlineStr">
        <is>
          <t>сум/га</t>
        </is>
      </c>
      <c r="C56" s="10">
        <f>C50/C35</f>
        <v/>
      </c>
      <c r="D56" s="10">
        <f>D50/D35</f>
        <v/>
      </c>
      <c r="E56" s="10">
        <f>E50/E35</f>
        <v/>
      </c>
      <c r="F56" s="10">
        <f>F50/F35</f>
        <v/>
      </c>
      <c r="G56" s="10">
        <f>G50/G35</f>
        <v/>
      </c>
      <c r="H56" s="10">
        <f>H50/H35</f>
        <v/>
      </c>
      <c r="I56" s="10">
        <f>I50/I35</f>
        <v/>
      </c>
      <c r="J56" s="10">
        <f>J50/J35</f>
        <v/>
      </c>
      <c r="K56" s="10">
        <f>K50/K35</f>
        <v/>
      </c>
      <c r="L56" s="10">
        <f>L50/L35</f>
        <v/>
      </c>
      <c r="M56" s="10">
        <f>M50/M35</f>
        <v/>
      </c>
      <c r="N56" s="10">
        <f>N50/N35</f>
        <v/>
      </c>
      <c r="O56" s="10">
        <f>O50/O35</f>
        <v/>
      </c>
      <c r="P56" s="10">
        <f>P50/P35</f>
        <v/>
      </c>
      <c r="Q56" s="10">
        <f>Q50/Q35</f>
        <v/>
      </c>
      <c r="R56" s="10">
        <f>R50/R35</f>
        <v/>
      </c>
      <c r="S56" s="10">
        <f>S50/S35</f>
        <v/>
      </c>
      <c r="T56" s="10">
        <f>T50/T35</f>
        <v/>
      </c>
      <c r="U56" s="10">
        <f>U50/U35</f>
        <v/>
      </c>
      <c r="V56" s="10">
        <f>V50/V35</f>
        <v/>
      </c>
      <c r="W56" s="10">
        <f>W50/W35</f>
        <v/>
      </c>
      <c r="X56" s="10">
        <f>X50/X35</f>
        <v/>
      </c>
      <c r="Y56" s="10">
        <f>Y50/Y35</f>
        <v/>
      </c>
      <c r="Z56" s="10">
        <f>Z50/Z35</f>
        <v/>
      </c>
      <c r="AA56" s="10">
        <f>AA50/AA35</f>
        <v/>
      </c>
      <c r="AB56" s="10">
        <f>AB50/AB35</f>
        <v/>
      </c>
      <c r="AC56" s="10">
        <f>AC50/AC35</f>
        <v/>
      </c>
    </row>
    <row r="57">
      <c r="A57" t="inlineStr">
        <is>
          <t>Амортизация дрона (зимняя доля)</t>
        </is>
      </c>
      <c r="B57" t="inlineStr">
        <is>
          <t>сум/га</t>
        </is>
      </c>
      <c r="C57" s="10">
        <f>C51/C35</f>
        <v/>
      </c>
      <c r="D57" s="10">
        <f>D51/D35</f>
        <v/>
      </c>
      <c r="E57" s="10">
        <f>E51/E35</f>
        <v/>
      </c>
      <c r="F57" s="10">
        <f>F51/F35</f>
        <v/>
      </c>
      <c r="G57" s="10">
        <f>G51/G35</f>
        <v/>
      </c>
      <c r="H57" s="10">
        <f>H51/H35</f>
        <v/>
      </c>
      <c r="I57" s="10">
        <f>I51/I35</f>
        <v/>
      </c>
      <c r="J57" s="10">
        <f>J51/J35</f>
        <v/>
      </c>
      <c r="K57" s="10">
        <f>K51/K35</f>
        <v/>
      </c>
      <c r="L57" s="10">
        <f>L51/L35</f>
        <v/>
      </c>
      <c r="M57" s="10">
        <f>M51/M35</f>
        <v/>
      </c>
      <c r="N57" s="10">
        <f>N51/N35</f>
        <v/>
      </c>
      <c r="O57" s="10">
        <f>O51/O35</f>
        <v/>
      </c>
      <c r="P57" s="10">
        <f>P51/P35</f>
        <v/>
      </c>
      <c r="Q57" s="10">
        <f>Q51/Q35</f>
        <v/>
      </c>
      <c r="R57" s="10">
        <f>R51/R35</f>
        <v/>
      </c>
      <c r="S57" s="10">
        <f>S51/S35</f>
        <v/>
      </c>
      <c r="T57" s="10">
        <f>T51/T35</f>
        <v/>
      </c>
      <c r="U57" s="10">
        <f>U51/U35</f>
        <v/>
      </c>
      <c r="V57" s="10">
        <f>V51/V35</f>
        <v/>
      </c>
      <c r="W57" s="10">
        <f>W51/W35</f>
        <v/>
      </c>
      <c r="X57" s="10">
        <f>X51/X35</f>
        <v/>
      </c>
      <c r="Y57" s="10">
        <f>Y51/Y35</f>
        <v/>
      </c>
      <c r="Z57" s="10">
        <f>Z51/Z35</f>
        <v/>
      </c>
      <c r="AA57" s="10">
        <f>AA51/AA35</f>
        <v/>
      </c>
      <c r="AB57" s="10">
        <f>AB51/AB35</f>
        <v/>
      </c>
      <c r="AC57" s="10">
        <f>AC51/AC35</f>
        <v/>
      </c>
    </row>
    <row r="58">
      <c r="A58" s="1" t="inlineStr">
        <is>
          <t>ПРЯМАЯ СЕБЕСТОИМОСТЬ ГЕКТАРА</t>
        </is>
      </c>
      <c r="B58" t="inlineStr">
        <is>
          <t>сум/га</t>
        </is>
      </c>
      <c r="C58" s="12">
        <f>C54+C55+C56+C57</f>
        <v/>
      </c>
      <c r="D58" s="12">
        <f>D54+D55+D56+D57</f>
        <v/>
      </c>
      <c r="E58" s="12">
        <f>E54+E55+E56+E57</f>
        <v/>
      </c>
      <c r="F58" s="12">
        <f>F54+F55+F56+F57</f>
        <v/>
      </c>
      <c r="G58" s="12">
        <f>G54+G55+G56+G57</f>
        <v/>
      </c>
      <c r="H58" s="12">
        <f>H54+H55+H56+H57</f>
        <v/>
      </c>
      <c r="I58" s="12">
        <f>I54+I55+I56+I57</f>
        <v/>
      </c>
      <c r="J58" s="12">
        <f>J54+J55+J56+J57</f>
        <v/>
      </c>
      <c r="K58" s="12">
        <f>K54+K55+K56+K57</f>
        <v/>
      </c>
      <c r="L58" s="12">
        <f>L54+L55+L56+L57</f>
        <v/>
      </c>
      <c r="M58" s="12">
        <f>M54+M55+M56+M57</f>
        <v/>
      </c>
      <c r="N58" s="12">
        <f>N54+N55+N56+N57</f>
        <v/>
      </c>
      <c r="O58" s="12">
        <f>O54+O55+O56+O57</f>
        <v/>
      </c>
      <c r="P58" s="12">
        <f>P54+P55+P56+P57</f>
        <v/>
      </c>
      <c r="Q58" s="12">
        <f>Q54+Q55+Q56+Q57</f>
        <v/>
      </c>
      <c r="R58" s="12">
        <f>R54+R55+R56+R57</f>
        <v/>
      </c>
      <c r="S58" s="12">
        <f>S54+S55+S56+S57</f>
        <v/>
      </c>
      <c r="T58" s="12">
        <f>T54+T55+T56+T57</f>
        <v/>
      </c>
      <c r="U58" s="12">
        <f>U54+U55+U56+U57</f>
        <v/>
      </c>
      <c r="V58" s="12">
        <f>V54+V55+V56+V57</f>
        <v/>
      </c>
      <c r="W58" s="12">
        <f>W54+W55+W56+W57</f>
        <v/>
      </c>
      <c r="X58" s="12">
        <f>X54+X55+X56+X57</f>
        <v/>
      </c>
      <c r="Y58" s="12">
        <f>Y54+Y55+Y56+Y57</f>
        <v/>
      </c>
      <c r="Z58" s="12">
        <f>Z54+Z55+Z56+Z57</f>
        <v/>
      </c>
      <c r="AA58" s="12">
        <f>AA54+AA55+AA56+AA57</f>
        <v/>
      </c>
      <c r="AB58" s="12">
        <f>AB54+AB55+AB56+AB57</f>
        <v/>
      </c>
      <c r="AC58" s="12">
        <f>AC54+AC55+AC56+AC57</f>
        <v/>
      </c>
    </row>
    <row r="59">
      <c r="A59" t="inlineStr">
        <is>
          <t>Тариф безубыточности (с накладными, без маржи)</t>
        </is>
      </c>
      <c r="B59" t="inlineStr">
        <is>
          <t>сум/га</t>
        </is>
      </c>
      <c r="C59" s="10">
        <f>C58/(1-overhead_pct)</f>
        <v/>
      </c>
      <c r="D59" s="10">
        <f>D58/(1-overhead_pct)</f>
        <v/>
      </c>
      <c r="E59" s="10">
        <f>E58/(1-overhead_pct)</f>
        <v/>
      </c>
      <c r="F59" s="10">
        <f>F58/(1-overhead_pct)</f>
        <v/>
      </c>
      <c r="G59" s="10">
        <f>G58/(1-overhead_pct)</f>
        <v/>
      </c>
      <c r="H59" s="10">
        <f>H58/(1-overhead_pct)</f>
        <v/>
      </c>
      <c r="I59" s="10">
        <f>I58/(1-overhead_pct)</f>
        <v/>
      </c>
      <c r="J59" s="10">
        <f>J58/(1-overhead_pct)</f>
        <v/>
      </c>
      <c r="K59" s="10">
        <f>K58/(1-overhead_pct)</f>
        <v/>
      </c>
      <c r="L59" s="10">
        <f>L58/(1-overhead_pct)</f>
        <v/>
      </c>
      <c r="M59" s="10">
        <f>M58/(1-overhead_pct)</f>
        <v/>
      </c>
      <c r="N59" s="10">
        <f>N58/(1-overhead_pct)</f>
        <v/>
      </c>
      <c r="O59" s="10">
        <f>O58/(1-overhead_pct)</f>
        <v/>
      </c>
      <c r="P59" s="10">
        <f>P58/(1-overhead_pct)</f>
        <v/>
      </c>
      <c r="Q59" s="10">
        <f>Q58/(1-overhead_pct)</f>
        <v/>
      </c>
      <c r="R59" s="10">
        <f>R58/(1-overhead_pct)</f>
        <v/>
      </c>
      <c r="S59" s="10">
        <f>S58/(1-overhead_pct)</f>
        <v/>
      </c>
      <c r="T59" s="10">
        <f>T58/(1-overhead_pct)</f>
        <v/>
      </c>
      <c r="U59" s="10">
        <f>U58/(1-overhead_pct)</f>
        <v/>
      </c>
      <c r="V59" s="10">
        <f>V58/(1-overhead_pct)</f>
        <v/>
      </c>
      <c r="W59" s="10">
        <f>W58/(1-overhead_pct)</f>
        <v/>
      </c>
      <c r="X59" s="10">
        <f>X58/(1-overhead_pct)</f>
        <v/>
      </c>
      <c r="Y59" s="10">
        <f>Y58/(1-overhead_pct)</f>
        <v/>
      </c>
      <c r="Z59" s="10">
        <f>Z58/(1-overhead_pct)</f>
        <v/>
      </c>
      <c r="AA59" s="10">
        <f>AA58/(1-overhead_pct)</f>
        <v/>
      </c>
      <c r="AB59" s="10">
        <f>AB58/(1-overhead_pct)</f>
        <v/>
      </c>
      <c r="AC59" s="10">
        <f>AC58/(1-overhead_pct)</f>
        <v/>
      </c>
    </row>
    <row r="60">
      <c r="A60" s="1" t="inlineStr">
        <is>
          <t>ЦЕЛЕВОЙ ТАРИФ (с накладными и маржой)</t>
        </is>
      </c>
      <c r="B60" t="inlineStr">
        <is>
          <t>сум/га</t>
        </is>
      </c>
      <c r="C60" s="12">
        <f>C58/(1-overhead_pct-target_margin_pct)</f>
        <v/>
      </c>
      <c r="D60" s="12">
        <f>D58/(1-overhead_pct-target_margin_pct)</f>
        <v/>
      </c>
      <c r="E60" s="12">
        <f>E58/(1-overhead_pct-target_margin_pct)</f>
        <v/>
      </c>
      <c r="F60" s="12">
        <f>F58/(1-overhead_pct-target_margin_pct)</f>
        <v/>
      </c>
      <c r="G60" s="12">
        <f>G58/(1-overhead_pct-target_margin_pct)</f>
        <v/>
      </c>
      <c r="H60" s="12">
        <f>H58/(1-overhead_pct-target_margin_pct)</f>
        <v/>
      </c>
      <c r="I60" s="12">
        <f>I58/(1-overhead_pct-target_margin_pct)</f>
        <v/>
      </c>
      <c r="J60" s="12">
        <f>J58/(1-overhead_pct-target_margin_pct)</f>
        <v/>
      </c>
      <c r="K60" s="12">
        <f>K58/(1-overhead_pct-target_margin_pct)</f>
        <v/>
      </c>
      <c r="L60" s="12">
        <f>L58/(1-overhead_pct-target_margin_pct)</f>
        <v/>
      </c>
      <c r="M60" s="12">
        <f>M58/(1-overhead_pct-target_margin_pct)</f>
        <v/>
      </c>
      <c r="N60" s="12">
        <f>N58/(1-overhead_pct-target_margin_pct)</f>
        <v/>
      </c>
      <c r="O60" s="12">
        <f>O58/(1-overhead_pct-target_margin_pct)</f>
        <v/>
      </c>
      <c r="P60" s="12">
        <f>P58/(1-overhead_pct-target_margin_pct)</f>
        <v/>
      </c>
      <c r="Q60" s="12">
        <f>Q58/(1-overhead_pct-target_margin_pct)</f>
        <v/>
      </c>
      <c r="R60" s="12">
        <f>R58/(1-overhead_pct-target_margin_pct)</f>
        <v/>
      </c>
      <c r="S60" s="12">
        <f>S58/(1-overhead_pct-target_margin_pct)</f>
        <v/>
      </c>
      <c r="T60" s="12">
        <f>T58/(1-overhead_pct-target_margin_pct)</f>
        <v/>
      </c>
      <c r="U60" s="12">
        <f>U58/(1-overhead_pct-target_margin_pct)</f>
        <v/>
      </c>
      <c r="V60" s="12">
        <f>V58/(1-overhead_pct-target_margin_pct)</f>
        <v/>
      </c>
      <c r="W60" s="12">
        <f>W58/(1-overhead_pct-target_margin_pct)</f>
        <v/>
      </c>
      <c r="X60" s="12">
        <f>X58/(1-overhead_pct-target_margin_pct)</f>
        <v/>
      </c>
      <c r="Y60" s="12">
        <f>Y58/(1-overhead_pct-target_margin_pct)</f>
        <v/>
      </c>
      <c r="Z60" s="12">
        <f>Z58/(1-overhead_pct-target_margin_pct)</f>
        <v/>
      </c>
      <c r="AA60" s="12">
        <f>AA58/(1-overhead_pct-target_margin_pct)</f>
        <v/>
      </c>
      <c r="AB60" s="12">
        <f>AB58/(1-overhead_pct-target_margin_pct)</f>
        <v/>
      </c>
      <c r="AC60" s="12">
        <f>AC58/(1-overhead_pct-target_margin_pct)</f>
        <v/>
      </c>
    </row>
    <row r="61">
      <c r="A61" t="inlineStr">
        <is>
          <t>Тариф безубыточности за тонну удобрения</t>
        </is>
      </c>
      <c r="B61" t="inlineStr">
        <is>
          <t>сум/т</t>
        </is>
      </c>
      <c r="C61" s="10">
        <f>C59/C2*1000</f>
        <v/>
      </c>
      <c r="D61" s="10">
        <f>D59/D2*1000</f>
        <v/>
      </c>
      <c r="E61" s="10">
        <f>E59/E2*1000</f>
        <v/>
      </c>
      <c r="F61" s="10">
        <f>F59/F2*1000</f>
        <v/>
      </c>
      <c r="G61" s="10">
        <f>G59/G2*1000</f>
        <v/>
      </c>
      <c r="H61" s="10">
        <f>H59/H2*1000</f>
        <v/>
      </c>
      <c r="I61" s="10">
        <f>I59/I2*1000</f>
        <v/>
      </c>
      <c r="J61" s="10">
        <f>J59/J2*1000</f>
        <v/>
      </c>
      <c r="K61" s="10">
        <f>K59/K2*1000</f>
        <v/>
      </c>
      <c r="L61" s="10">
        <f>L59/L2*1000</f>
        <v/>
      </c>
      <c r="M61" s="10">
        <f>M59/M2*1000</f>
        <v/>
      </c>
      <c r="N61" s="10">
        <f>N59/N2*1000</f>
        <v/>
      </c>
      <c r="O61" s="10">
        <f>O59/O2*1000</f>
        <v/>
      </c>
      <c r="P61" s="10">
        <f>P59/P2*1000</f>
        <v/>
      </c>
      <c r="Q61" s="10">
        <f>Q59/Q2*1000</f>
        <v/>
      </c>
      <c r="R61" s="10">
        <f>R59/R2*1000</f>
        <v/>
      </c>
      <c r="S61" s="10">
        <f>S59/S2*1000</f>
        <v/>
      </c>
      <c r="T61" s="10">
        <f>T59/T2*1000</f>
        <v/>
      </c>
      <c r="U61" s="10">
        <f>U59/U2*1000</f>
        <v/>
      </c>
      <c r="V61" s="10">
        <f>V59/V2*1000</f>
        <v/>
      </c>
      <c r="W61" s="10">
        <f>W59/W2*1000</f>
        <v/>
      </c>
      <c r="X61" s="10">
        <f>X59/X2*1000</f>
        <v/>
      </c>
      <c r="Y61" s="10">
        <f>Y59/Y2*1000</f>
        <v/>
      </c>
      <c r="Z61" s="10">
        <f>Z59/Z2*1000</f>
        <v/>
      </c>
      <c r="AA61" s="10">
        <f>AA59/AA2*1000</f>
        <v/>
      </c>
      <c r="AB61" s="10">
        <f>AB59/AB2*1000</f>
        <v/>
      </c>
      <c r="AC61" s="10">
        <f>AC59/AC2*1000</f>
        <v/>
      </c>
    </row>
    <row r="62">
      <c r="A62" s="1" t="inlineStr">
        <is>
          <t>Целевой тариф за тонну удобрения</t>
        </is>
      </c>
      <c r="B62" t="inlineStr">
        <is>
          <t>сум/т</t>
        </is>
      </c>
      <c r="C62" s="12">
        <f>C60/C2*1000</f>
        <v/>
      </c>
      <c r="D62" s="12">
        <f>D60/D2*1000</f>
        <v/>
      </c>
      <c r="E62" s="12">
        <f>E60/E2*1000</f>
        <v/>
      </c>
      <c r="F62" s="12">
        <f>F60/F2*1000</f>
        <v/>
      </c>
      <c r="G62" s="12">
        <f>G60/G2*1000</f>
        <v/>
      </c>
      <c r="H62" s="12">
        <f>H60/H2*1000</f>
        <v/>
      </c>
      <c r="I62" s="12">
        <f>I60/I2*1000</f>
        <v/>
      </c>
      <c r="J62" s="12">
        <f>J60/J2*1000</f>
        <v/>
      </c>
      <c r="K62" s="12">
        <f>K60/K2*1000</f>
        <v/>
      </c>
      <c r="L62" s="12">
        <f>L60/L2*1000</f>
        <v/>
      </c>
      <c r="M62" s="12">
        <f>M60/M2*1000</f>
        <v/>
      </c>
      <c r="N62" s="12">
        <f>N60/N2*1000</f>
        <v/>
      </c>
      <c r="O62" s="12">
        <f>O60/O2*1000</f>
        <v/>
      </c>
      <c r="P62" s="12">
        <f>P60/P2*1000</f>
        <v/>
      </c>
      <c r="Q62" s="12">
        <f>Q60/Q2*1000</f>
        <v/>
      </c>
      <c r="R62" s="12">
        <f>R60/R2*1000</f>
        <v/>
      </c>
      <c r="S62" s="12">
        <f>S60/S2*1000</f>
        <v/>
      </c>
      <c r="T62" s="12">
        <f>T60/T2*1000</f>
        <v/>
      </c>
      <c r="U62" s="12">
        <f>U60/U2*1000</f>
        <v/>
      </c>
      <c r="V62" s="12">
        <f>V60/V2*1000</f>
        <v/>
      </c>
      <c r="W62" s="12">
        <f>W60/W2*1000</f>
        <v/>
      </c>
      <c r="X62" s="12">
        <f>X60/X2*1000</f>
        <v/>
      </c>
      <c r="Y62" s="12">
        <f>Y60/Y2*1000</f>
        <v/>
      </c>
      <c r="Z62" s="12">
        <f>Z60/Z2*1000</f>
        <v/>
      </c>
      <c r="AA62" s="12">
        <f>AA60/AA2*1000</f>
        <v/>
      </c>
      <c r="AB62" s="12">
        <f>AB60/AB2*1000</f>
        <v/>
      </c>
      <c r="AC62" s="12">
        <f>AC60/AC2*1000</f>
        <v/>
      </c>
    </row>
    <row r="63">
      <c r="A63" t="inlineStr">
        <is>
          <t>Выручка за день по целевому тарифу</t>
        </is>
      </c>
      <c r="B63" t="inlineStr">
        <is>
          <t>сум</t>
        </is>
      </c>
      <c r="C63" s="10">
        <f>C60*C35</f>
        <v/>
      </c>
      <c r="D63" s="10">
        <f>D60*D35</f>
        <v/>
      </c>
      <c r="E63" s="10">
        <f>E60*E35</f>
        <v/>
      </c>
      <c r="F63" s="10">
        <f>F60*F35</f>
        <v/>
      </c>
      <c r="G63" s="10">
        <f>G60*G35</f>
        <v/>
      </c>
      <c r="H63" s="10">
        <f>H60*H35</f>
        <v/>
      </c>
      <c r="I63" s="10">
        <f>I60*I35</f>
        <v/>
      </c>
      <c r="J63" s="10">
        <f>J60*J35</f>
        <v/>
      </c>
      <c r="K63" s="10">
        <f>K60*K35</f>
        <v/>
      </c>
      <c r="L63" s="10">
        <f>L60*L35</f>
        <v/>
      </c>
      <c r="M63" s="10">
        <f>M60*M35</f>
        <v/>
      </c>
      <c r="N63" s="10">
        <f>N60*N35</f>
        <v/>
      </c>
      <c r="O63" s="10">
        <f>O60*O35</f>
        <v/>
      </c>
      <c r="P63" s="10">
        <f>P60*P35</f>
        <v/>
      </c>
      <c r="Q63" s="10">
        <f>Q60*Q35</f>
        <v/>
      </c>
      <c r="R63" s="10">
        <f>R60*R35</f>
        <v/>
      </c>
      <c r="S63" s="10">
        <f>S60*S35</f>
        <v/>
      </c>
      <c r="T63" s="10">
        <f>T60*T35</f>
        <v/>
      </c>
      <c r="U63" s="10">
        <f>U60*U35</f>
        <v/>
      </c>
      <c r="V63" s="10">
        <f>V60*V35</f>
        <v/>
      </c>
      <c r="W63" s="10">
        <f>W60*W35</f>
        <v/>
      </c>
      <c r="X63" s="10">
        <f>X60*X35</f>
        <v/>
      </c>
      <c r="Y63" s="10">
        <f>Y60*Y35</f>
        <v/>
      </c>
      <c r="Z63" s="10">
        <f>Z60*Z35</f>
        <v/>
      </c>
      <c r="AA63" s="10">
        <f>AA60*AA35</f>
        <v/>
      </c>
      <c r="AB63" s="10">
        <f>AB60*AB35</f>
        <v/>
      </c>
      <c r="AC63" s="10">
        <f>AC60*AC35</f>
        <v/>
      </c>
    </row>
    <row r="64">
      <c r="A64" t="inlineStr">
        <is>
          <t>Маржа за день по целевому тарифу</t>
        </is>
      </c>
      <c r="B64" t="inlineStr">
        <is>
          <t>сум</t>
        </is>
      </c>
      <c r="C64" s="10">
        <f>C63-C52-C63*overhead_pct</f>
        <v/>
      </c>
      <c r="D64" s="10">
        <f>D63-D52-D63*overhead_pct</f>
        <v/>
      </c>
      <c r="E64" s="10">
        <f>E63-E52-E63*overhead_pct</f>
        <v/>
      </c>
      <c r="F64" s="10">
        <f>F63-F52-F63*overhead_pct</f>
        <v/>
      </c>
      <c r="G64" s="10">
        <f>G63-G52-G63*overhead_pct</f>
        <v/>
      </c>
      <c r="H64" s="10">
        <f>H63-H52-H63*overhead_pct</f>
        <v/>
      </c>
      <c r="I64" s="10">
        <f>I63-I52-I63*overhead_pct</f>
        <v/>
      </c>
      <c r="J64" s="10">
        <f>J63-J52-J63*overhead_pct</f>
        <v/>
      </c>
      <c r="K64" s="10">
        <f>K63-K52-K63*overhead_pct</f>
        <v/>
      </c>
      <c r="L64" s="10">
        <f>L63-L52-L63*overhead_pct</f>
        <v/>
      </c>
      <c r="M64" s="10">
        <f>M63-M52-M63*overhead_pct</f>
        <v/>
      </c>
      <c r="N64" s="10">
        <f>N63-N52-N63*overhead_pct</f>
        <v/>
      </c>
      <c r="O64" s="10">
        <f>O63-O52-O63*overhead_pct</f>
        <v/>
      </c>
      <c r="P64" s="10">
        <f>P63-P52-P63*overhead_pct</f>
        <v/>
      </c>
      <c r="Q64" s="10">
        <f>Q63-Q52-Q63*overhead_pct</f>
        <v/>
      </c>
      <c r="R64" s="10">
        <f>R63-R52-R63*overhead_pct</f>
        <v/>
      </c>
      <c r="S64" s="10">
        <f>S63-S52-S63*overhead_pct</f>
        <v/>
      </c>
      <c r="T64" s="10">
        <f>T63-T52-T63*overhead_pct</f>
        <v/>
      </c>
      <c r="U64" s="10">
        <f>U63-U52-U63*overhead_pct</f>
        <v/>
      </c>
      <c r="V64" s="10">
        <f>V63-V52-V63*overhead_pct</f>
        <v/>
      </c>
      <c r="W64" s="10">
        <f>W63-W52-W63*overhead_pct</f>
        <v/>
      </c>
      <c r="X64" s="10">
        <f>X63-X52-X63*overhead_pct</f>
        <v/>
      </c>
      <c r="Y64" s="10">
        <f>Y63-Y52-Y63*overhead_pct</f>
        <v/>
      </c>
      <c r="Z64" s="10">
        <f>Z63-Z52-Z63*overhead_pct</f>
        <v/>
      </c>
      <c r="AA64" s="10">
        <f>AA63-AA52-AA63*overhead_pct</f>
        <v/>
      </c>
      <c r="AB64" s="10">
        <f>AB63-AB52-AB63*overhead_pct</f>
        <v/>
      </c>
      <c r="AC64" s="10">
        <f>AC63-AC52-AC63*overhead_pct</f>
        <v/>
      </c>
    </row>
    <row r="65">
      <c r="A65" t="inlineStr">
        <is>
          <t>Целевой тариф к тарифу опрыскивания</t>
        </is>
      </c>
      <c r="B65" t="inlineStr">
        <is>
          <t>раз</t>
        </is>
      </c>
      <c r="C65" s="9">
        <f>C60/liquid_tariff_external</f>
        <v/>
      </c>
      <c r="D65" s="9">
        <f>D60/liquid_tariff_external</f>
        <v/>
      </c>
      <c r="E65" s="9">
        <f>E60/liquid_tariff_external</f>
        <v/>
      </c>
      <c r="F65" s="9">
        <f>F60/liquid_tariff_external</f>
        <v/>
      </c>
      <c r="G65" s="9">
        <f>G60/liquid_tariff_external</f>
        <v/>
      </c>
      <c r="H65" s="9">
        <f>H60/liquid_tariff_external</f>
        <v/>
      </c>
      <c r="I65" s="9">
        <f>I60/liquid_tariff_external</f>
        <v/>
      </c>
      <c r="J65" s="9">
        <f>J60/liquid_tariff_external</f>
        <v/>
      </c>
      <c r="K65" s="9">
        <f>K60/liquid_tariff_external</f>
        <v/>
      </c>
      <c r="L65" s="9">
        <f>L60/liquid_tariff_external</f>
        <v/>
      </c>
      <c r="M65" s="9">
        <f>M60/liquid_tariff_external</f>
        <v/>
      </c>
      <c r="N65" s="9">
        <f>N60/liquid_tariff_external</f>
        <v/>
      </c>
      <c r="O65" s="9">
        <f>O60/liquid_tariff_external</f>
        <v/>
      </c>
      <c r="P65" s="9">
        <f>P60/liquid_tariff_external</f>
        <v/>
      </c>
      <c r="Q65" s="9">
        <f>Q60/liquid_tariff_external</f>
        <v/>
      </c>
      <c r="R65" s="9">
        <f>R60/liquid_tariff_external</f>
        <v/>
      </c>
      <c r="S65" s="9">
        <f>S60/liquid_tariff_external</f>
        <v/>
      </c>
      <c r="T65" s="9">
        <f>T60/liquid_tariff_external</f>
        <v/>
      </c>
      <c r="U65" s="9">
        <f>U60/liquid_tariff_external</f>
        <v/>
      </c>
      <c r="V65" s="9">
        <f>V60/liquid_tariff_external</f>
        <v/>
      </c>
      <c r="W65" s="9">
        <f>W60/liquid_tariff_external</f>
        <v/>
      </c>
      <c r="X65" s="9">
        <f>X60/liquid_tariff_external</f>
        <v/>
      </c>
      <c r="Y65" s="9">
        <f>Y60/liquid_tariff_external</f>
        <v/>
      </c>
      <c r="Z65" s="9">
        <f>Z60/liquid_tariff_external</f>
        <v/>
      </c>
      <c r="AA65" s="9">
        <f>AA60/liquid_tariff_external</f>
        <v/>
      </c>
      <c r="AB65" s="9">
        <f>AB60/liquid_tariff_external</f>
        <v/>
      </c>
      <c r="AC65" s="9">
        <f>AC60/liquid_tariff_external</f>
        <v/>
      </c>
    </row>
    <row r="66">
      <c r="A66" s="3" t="inlineStr">
        <is>
          <t>ДВУХСТАВОЧНЫЙ ТАРИФ: ГЕКТАР + ТОННА</t>
        </is>
      </c>
      <c r="B66" s="2" t="inlineStr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</row>
    <row r="67">
      <c r="A67" t="inlineStr">
        <is>
          <t>Постоянные затраты на минуту лётного времени</t>
        </is>
      </c>
      <c r="B67" t="inlineStr">
        <is>
          <t>сум/мин</t>
        </is>
      </c>
      <c r="C67" s="10">
        <f>(C48+C50+C51)/(C16*60)</f>
        <v/>
      </c>
      <c r="D67" s="10">
        <f>(D48+D50+D51)/(D16*60)</f>
        <v/>
      </c>
      <c r="E67" s="10">
        <f>(E48+E50+E51)/(E16*60)</f>
        <v/>
      </c>
      <c r="F67" s="10">
        <f>(F48+F50+F51)/(F16*60)</f>
        <v/>
      </c>
      <c r="G67" s="10">
        <f>(G48+G50+G51)/(G16*60)</f>
        <v/>
      </c>
      <c r="H67" s="10">
        <f>(H48+H50+H51)/(H16*60)</f>
        <v/>
      </c>
      <c r="I67" s="10">
        <f>(I48+I50+I51)/(I16*60)</f>
        <v/>
      </c>
      <c r="J67" s="10">
        <f>(J48+J50+J51)/(J16*60)</f>
        <v/>
      </c>
      <c r="K67" s="10">
        <f>(K48+K50+K51)/(K16*60)</f>
        <v/>
      </c>
      <c r="L67" s="10">
        <f>(L48+L50+L51)/(L16*60)</f>
        <v/>
      </c>
      <c r="M67" s="10">
        <f>(M48+M50+M51)/(M16*60)</f>
        <v/>
      </c>
      <c r="N67" s="10">
        <f>(N48+N50+N51)/(N16*60)</f>
        <v/>
      </c>
      <c r="O67" s="10">
        <f>(O48+O50+O51)/(O16*60)</f>
        <v/>
      </c>
      <c r="P67" s="10">
        <f>(P48+P50+P51)/(P16*60)</f>
        <v/>
      </c>
      <c r="Q67" s="10">
        <f>(Q48+Q50+Q51)/(Q16*60)</f>
        <v/>
      </c>
      <c r="R67" s="10">
        <f>(R48+R50+R51)/(R16*60)</f>
        <v/>
      </c>
      <c r="S67" s="10">
        <f>(S48+S50+S51)/(S16*60)</f>
        <v/>
      </c>
      <c r="T67" s="10">
        <f>(T48+T50+T51)/(T16*60)</f>
        <v/>
      </c>
      <c r="U67" s="10">
        <f>(U48+U50+U51)/(U16*60)</f>
        <v/>
      </c>
      <c r="V67" s="10">
        <f>(V48+V50+V51)/(V16*60)</f>
        <v/>
      </c>
      <c r="W67" s="10">
        <f>(W48+W50+W51)/(W16*60)</f>
        <v/>
      </c>
      <c r="X67" s="10">
        <f>(X48+X50+X51)/(X16*60)</f>
        <v/>
      </c>
      <c r="Y67" s="10">
        <f>(Y48+Y50+Y51)/(Y16*60)</f>
        <v/>
      </c>
      <c r="Z67" s="10">
        <f>(Z48+Z50+Z51)/(Z16*60)</f>
        <v/>
      </c>
      <c r="AA67" s="10">
        <f>(AA48+AA50+AA51)/(AA16*60)</f>
        <v/>
      </c>
      <c r="AB67" s="10">
        <f>(AB48+AB50+AB51)/(AB16*60)</f>
        <v/>
      </c>
      <c r="AC67" s="10">
        <f>(AC48+AC50+AC51)/(AC16*60)</f>
        <v/>
      </c>
    </row>
    <row r="68">
      <c r="A68" t="inlineStr">
        <is>
          <t>Батарея, бензин, износ на минуту полёта</t>
        </is>
      </c>
      <c r="B68" t="inlineStr">
        <is>
          <t>сум/мин</t>
        </is>
      </c>
      <c r="C68" s="10">
        <f>(C19*usd_rate/C22+battery_kwh/charge_eff*gen_l_per_kwh*C21)/cycle_equiv_min+drone_wear_usd_h*usd_rate/60*(1+fert_wear_premium)</f>
        <v/>
      </c>
      <c r="D68" s="10">
        <f>(D19*usd_rate/D22+battery_kwh/charge_eff*gen_l_per_kwh*D21)/cycle_equiv_min+drone_wear_usd_h*usd_rate/60*(1+fert_wear_premium)</f>
        <v/>
      </c>
      <c r="E68" s="10">
        <f>(E19*usd_rate/E22+battery_kwh/charge_eff*gen_l_per_kwh*E21)/cycle_equiv_min+drone_wear_usd_h*usd_rate/60*(1+fert_wear_premium)</f>
        <v/>
      </c>
      <c r="F68" s="10">
        <f>(F19*usd_rate/F22+battery_kwh/charge_eff*gen_l_per_kwh*F21)/cycle_equiv_min+drone_wear_usd_h*usd_rate/60*(1+fert_wear_premium)</f>
        <v/>
      </c>
      <c r="G68" s="10">
        <f>(G19*usd_rate/G22+battery_kwh/charge_eff*gen_l_per_kwh*G21)/cycle_equiv_min+drone_wear_usd_h*usd_rate/60*(1+fert_wear_premium)</f>
        <v/>
      </c>
      <c r="H68" s="10">
        <f>(H19*usd_rate/H22+battery_kwh/charge_eff*gen_l_per_kwh*H21)/cycle_equiv_min+drone_wear_usd_h*usd_rate/60*(1+fert_wear_premium)</f>
        <v/>
      </c>
      <c r="I68" s="10">
        <f>(I19*usd_rate/I22+battery_kwh/charge_eff*gen_l_per_kwh*I21)/cycle_equiv_min+drone_wear_usd_h*usd_rate/60*(1+fert_wear_premium)</f>
        <v/>
      </c>
      <c r="J68" s="10">
        <f>(J19*usd_rate/J22+battery_kwh/charge_eff*gen_l_per_kwh*J21)/cycle_equiv_min+drone_wear_usd_h*usd_rate/60*(1+fert_wear_premium)</f>
        <v/>
      </c>
      <c r="K68" s="10">
        <f>(K19*usd_rate/K22+battery_kwh/charge_eff*gen_l_per_kwh*K21)/cycle_equiv_min+drone_wear_usd_h*usd_rate/60*(1+fert_wear_premium)</f>
        <v/>
      </c>
      <c r="L68" s="10">
        <f>(L19*usd_rate/L22+battery_kwh/charge_eff*gen_l_per_kwh*L21)/cycle_equiv_min+drone_wear_usd_h*usd_rate/60*(1+fert_wear_premium)</f>
        <v/>
      </c>
      <c r="M68" s="10">
        <f>(M19*usd_rate/M22+battery_kwh/charge_eff*gen_l_per_kwh*M21)/cycle_equiv_min+drone_wear_usd_h*usd_rate/60*(1+fert_wear_premium)</f>
        <v/>
      </c>
      <c r="N68" s="10">
        <f>(N19*usd_rate/N22+battery_kwh/charge_eff*gen_l_per_kwh*N21)/cycle_equiv_min+drone_wear_usd_h*usd_rate/60*(1+fert_wear_premium)</f>
        <v/>
      </c>
      <c r="O68" s="10">
        <f>(O19*usd_rate/O22+battery_kwh/charge_eff*gen_l_per_kwh*O21)/cycle_equiv_min+drone_wear_usd_h*usd_rate/60*(1+fert_wear_premium)</f>
        <v/>
      </c>
      <c r="P68" s="10">
        <f>(P19*usd_rate/P22+battery_kwh/charge_eff*gen_l_per_kwh*P21)/cycle_equiv_min+drone_wear_usd_h*usd_rate/60*(1+fert_wear_premium)</f>
        <v/>
      </c>
      <c r="Q68" s="10">
        <f>(Q19*usd_rate/Q22+battery_kwh/charge_eff*gen_l_per_kwh*Q21)/cycle_equiv_min+drone_wear_usd_h*usd_rate/60*(1+fert_wear_premium)</f>
        <v/>
      </c>
      <c r="R68" s="10">
        <f>(R19*usd_rate/R22+battery_kwh/charge_eff*gen_l_per_kwh*R21)/cycle_equiv_min+drone_wear_usd_h*usd_rate/60*(1+fert_wear_premium)</f>
        <v/>
      </c>
      <c r="S68" s="10">
        <f>(S19*usd_rate/S22+battery_kwh/charge_eff*gen_l_per_kwh*S21)/cycle_equiv_min+drone_wear_usd_h*usd_rate/60*(1+fert_wear_premium)</f>
        <v/>
      </c>
      <c r="T68" s="10">
        <f>(T19*usd_rate/T22+battery_kwh/charge_eff*gen_l_per_kwh*T21)/cycle_equiv_min+drone_wear_usd_h*usd_rate/60*(1+fert_wear_premium)</f>
        <v/>
      </c>
      <c r="U68" s="10">
        <f>(U19*usd_rate/U22+battery_kwh/charge_eff*gen_l_per_kwh*U21)/cycle_equiv_min+drone_wear_usd_h*usd_rate/60*(1+fert_wear_premium)</f>
        <v/>
      </c>
      <c r="V68" s="10">
        <f>(V19*usd_rate/V22+battery_kwh/charge_eff*gen_l_per_kwh*V21)/cycle_equiv_min+drone_wear_usd_h*usd_rate/60*(1+fert_wear_premium)</f>
        <v/>
      </c>
      <c r="W68" s="10">
        <f>(W19*usd_rate/W22+battery_kwh/charge_eff*gen_l_per_kwh*W21)/cycle_equiv_min+drone_wear_usd_h*usd_rate/60*(1+fert_wear_premium)</f>
        <v/>
      </c>
      <c r="X68" s="10">
        <f>(X19*usd_rate/X22+battery_kwh/charge_eff*gen_l_per_kwh*X21)/cycle_equiv_min+drone_wear_usd_h*usd_rate/60*(1+fert_wear_premium)</f>
        <v/>
      </c>
      <c r="Y68" s="10">
        <f>(Y19*usd_rate/Y22+battery_kwh/charge_eff*gen_l_per_kwh*Y21)/cycle_equiv_min+drone_wear_usd_h*usd_rate/60*(1+fert_wear_premium)</f>
        <v/>
      </c>
      <c r="Z68" s="10">
        <f>(Z19*usd_rate/Z22+battery_kwh/charge_eff*gen_l_per_kwh*Z21)/cycle_equiv_min+drone_wear_usd_h*usd_rate/60*(1+fert_wear_premium)</f>
        <v/>
      </c>
      <c r="AA68" s="10">
        <f>(AA19*usd_rate/AA22+battery_kwh/charge_eff*gen_l_per_kwh*AA21)/cycle_equiv_min+drone_wear_usd_h*usd_rate/60*(1+fert_wear_premium)</f>
        <v/>
      </c>
      <c r="AB68" s="10">
        <f>(AB19*usd_rate/AB22+battery_kwh/charge_eff*gen_l_per_kwh*AB21)/cycle_equiv_min+drone_wear_usd_h*usd_rate/60*(1+fert_wear_premium)</f>
        <v/>
      </c>
      <c r="AC68" s="10">
        <f>(AC19*usd_rate/AC22+battery_kwh/charge_eff*gen_l_per_kwh*AC21)/cycle_equiv_min+drone_wear_usd_h*usd_rate/60*(1+fert_wear_premium)</f>
        <v/>
      </c>
    </row>
    <row r="69">
      <c r="A69" t="inlineStr">
        <is>
          <t>Себестоимость: постоянная часть на гектар (C0)</t>
        </is>
      </c>
      <c r="B69" t="inlineStr">
        <is>
          <t>сум/га</t>
        </is>
      </c>
      <c r="C69" s="10">
        <f>C28*(C67+C68)</f>
        <v/>
      </c>
      <c r="D69" s="10">
        <f>D28*(D67+D68)</f>
        <v/>
      </c>
      <c r="E69" s="10">
        <f>E28*(E67+E68)</f>
        <v/>
      </c>
      <c r="F69" s="10">
        <f>F28*(F67+F68)</f>
        <v/>
      </c>
      <c r="G69" s="10">
        <f>G28*(G67+G68)</f>
        <v/>
      </c>
      <c r="H69" s="10">
        <f>H28*(H67+H68)</f>
        <v/>
      </c>
      <c r="I69" s="10">
        <f>I28*(I67+I68)</f>
        <v/>
      </c>
      <c r="J69" s="10">
        <f>J28*(J67+J68)</f>
        <v/>
      </c>
      <c r="K69" s="10">
        <f>K28*(K67+K68)</f>
        <v/>
      </c>
      <c r="L69" s="10">
        <f>L28*(L67+L68)</f>
        <v/>
      </c>
      <c r="M69" s="10">
        <f>M28*(M67+M68)</f>
        <v/>
      </c>
      <c r="N69" s="10">
        <f>N28*(N67+N68)</f>
        <v/>
      </c>
      <c r="O69" s="10">
        <f>O28*(O67+O68)</f>
        <v/>
      </c>
      <c r="P69" s="10">
        <f>P28*(P67+P68)</f>
        <v/>
      </c>
      <c r="Q69" s="10">
        <f>Q28*(Q67+Q68)</f>
        <v/>
      </c>
      <c r="R69" s="10">
        <f>R28*(R67+R68)</f>
        <v/>
      </c>
      <c r="S69" s="10">
        <f>S28*(S67+S68)</f>
        <v/>
      </c>
      <c r="T69" s="10">
        <f>T28*(T67+T68)</f>
        <v/>
      </c>
      <c r="U69" s="10">
        <f>U28*(U67+U68)</f>
        <v/>
      </c>
      <c r="V69" s="10">
        <f>V28*(V67+V68)</f>
        <v/>
      </c>
      <c r="W69" s="10">
        <f>W28*(W67+W68)</f>
        <v/>
      </c>
      <c r="X69" s="10">
        <f>X28*(X67+X68)</f>
        <v/>
      </c>
      <c r="Y69" s="10">
        <f>Y28*(Y67+Y68)</f>
        <v/>
      </c>
      <c r="Z69" s="10">
        <f>Z28*(Z67+Z68)</f>
        <v/>
      </c>
      <c r="AA69" s="10">
        <f>AA28*(AA67+AA68)</f>
        <v/>
      </c>
      <c r="AB69" s="10">
        <f>AB28*(AB67+AB68)</f>
        <v/>
      </c>
      <c r="AC69" s="10">
        <f>AC28*(AC67+AC68)</f>
        <v/>
      </c>
    </row>
    <row r="70">
      <c r="A70" t="inlineStr">
        <is>
          <t>Себестоимость: переменная часть на килограмм (c1)</t>
        </is>
      </c>
      <c r="B70" t="inlineStr">
        <is>
          <t>сум/кг</t>
        </is>
      </c>
      <c r="C70" s="10">
        <f>((C18+C17)*C67+C18*C68)/C15</f>
        <v/>
      </c>
      <c r="D70" s="10">
        <f>((D18+D17)*D67+D18*D68)/D15</f>
        <v/>
      </c>
      <c r="E70" s="10">
        <f>((E18+E17)*E67+E18*E68)/E15</f>
        <v/>
      </c>
      <c r="F70" s="10">
        <f>((F18+F17)*F67+F18*F68)/F15</f>
        <v/>
      </c>
      <c r="G70" s="10">
        <f>((G18+G17)*G67+G18*G68)/G15</f>
        <v/>
      </c>
      <c r="H70" s="10">
        <f>((H18+H17)*H67+H18*H68)/H15</f>
        <v/>
      </c>
      <c r="I70" s="10">
        <f>((I18+I17)*I67+I18*I68)/I15</f>
        <v/>
      </c>
      <c r="J70" s="10">
        <f>((J18+J17)*J67+J18*J68)/J15</f>
        <v/>
      </c>
      <c r="K70" s="10">
        <f>((K18+K17)*K67+K18*K68)/K15</f>
        <v/>
      </c>
      <c r="L70" s="10">
        <f>((L18+L17)*L67+L18*L68)/L15</f>
        <v/>
      </c>
      <c r="M70" s="10">
        <f>((M18+M17)*M67+M18*M68)/M15</f>
        <v/>
      </c>
      <c r="N70" s="10">
        <f>((N18+N17)*N67+N18*N68)/N15</f>
        <v/>
      </c>
      <c r="O70" s="10">
        <f>((O18+O17)*O67+O18*O68)/O15</f>
        <v/>
      </c>
      <c r="P70" s="10">
        <f>((P18+P17)*P67+P18*P68)/P15</f>
        <v/>
      </c>
      <c r="Q70" s="10">
        <f>((Q18+Q17)*Q67+Q18*Q68)/Q15</f>
        <v/>
      </c>
      <c r="R70" s="10">
        <f>((R18+R17)*R67+R18*R68)/R15</f>
        <v/>
      </c>
      <c r="S70" s="10">
        <f>((S18+S17)*S67+S18*S68)/S15</f>
        <v/>
      </c>
      <c r="T70" s="10">
        <f>((T18+T17)*T67+T18*T68)/T15</f>
        <v/>
      </c>
      <c r="U70" s="10">
        <f>((U18+U17)*U67+U18*U68)/U15</f>
        <v/>
      </c>
      <c r="V70" s="10">
        <f>((V18+V17)*V67+V18*V68)/V15</f>
        <v/>
      </c>
      <c r="W70" s="10">
        <f>((W18+W17)*W67+W18*W68)/W15</f>
        <v/>
      </c>
      <c r="X70" s="10">
        <f>((X18+X17)*X67+X18*X68)/X15</f>
        <v/>
      </c>
      <c r="Y70" s="10">
        <f>((Y18+Y17)*Y67+Y18*Y68)/Y15</f>
        <v/>
      </c>
      <c r="Z70" s="10">
        <f>((Z18+Z17)*Z67+Z18*Z68)/Z15</f>
        <v/>
      </c>
      <c r="AA70" s="10">
        <f>((AA18+AA17)*AA67+AA18*AA68)/AA15</f>
        <v/>
      </c>
      <c r="AB70" s="10">
        <f>((AB18+AB17)*AB67+AB18*AB68)/AB15</f>
        <v/>
      </c>
      <c r="AC70" s="10">
        <f>((AC18+AC17)*AC67+AC18*AC68)/AC15</f>
        <v/>
      </c>
    </row>
    <row r="71">
      <c r="A71" t="inlineStr">
        <is>
          <t>Контроль: C0 + c1 x норма - прямая себестоимость (должно быть 0)</t>
        </is>
      </c>
      <c r="B71" t="inlineStr">
        <is>
          <t>сум</t>
        </is>
      </c>
      <c r="C71" s="10">
        <f>C69+C70*C2-C58</f>
        <v/>
      </c>
      <c r="D71" s="10">
        <f>D69+D70*D2-D58</f>
        <v/>
      </c>
      <c r="E71" s="10">
        <f>E69+E70*E2-E58</f>
        <v/>
      </c>
      <c r="F71" s="10">
        <f>F69+F70*F2-F58</f>
        <v/>
      </c>
      <c r="G71" s="10">
        <f>G69+G70*G2-G58</f>
        <v/>
      </c>
      <c r="H71" s="10">
        <f>H69+H70*H2-H58</f>
        <v/>
      </c>
      <c r="I71" s="10">
        <f>I69+I70*I2-I58</f>
        <v/>
      </c>
      <c r="J71" s="10">
        <f>J69+J70*J2-J58</f>
        <v/>
      </c>
      <c r="K71" s="10">
        <f>K69+K70*K2-K58</f>
        <v/>
      </c>
      <c r="L71" s="10">
        <f>L69+L70*L2-L58</f>
        <v/>
      </c>
      <c r="M71" s="10">
        <f>M69+M70*M2-M58</f>
        <v/>
      </c>
      <c r="N71" s="10">
        <f>N69+N70*N2-N58</f>
        <v/>
      </c>
      <c r="O71" s="10">
        <f>O69+O70*O2-O58</f>
        <v/>
      </c>
      <c r="P71" s="10">
        <f>P69+P70*P2-P58</f>
        <v/>
      </c>
      <c r="Q71" s="10">
        <f>Q69+Q70*Q2-Q58</f>
        <v/>
      </c>
      <c r="R71" s="10">
        <f>R69+R70*R2-R58</f>
        <v/>
      </c>
      <c r="S71" s="10">
        <f>S69+S70*S2-S58</f>
        <v/>
      </c>
      <c r="T71" s="10">
        <f>T69+T70*T2-T58</f>
        <v/>
      </c>
      <c r="U71" s="10">
        <f>U69+U70*U2-U58</f>
        <v/>
      </c>
      <c r="V71" s="10">
        <f>V69+V70*V2-V58</f>
        <v/>
      </c>
      <c r="W71" s="10">
        <f>W69+W70*W2-W58</f>
        <v/>
      </c>
      <c r="X71" s="10">
        <f>X69+X70*X2-X58</f>
        <v/>
      </c>
      <c r="Y71" s="10">
        <f>Y69+Y70*Y2-Y58</f>
        <v/>
      </c>
      <c r="Z71" s="10">
        <f>Z69+Z70*Z2-Z58</f>
        <v/>
      </c>
      <c r="AA71" s="10">
        <f>AA69+AA70*AA2-AA58</f>
        <v/>
      </c>
      <c r="AB71" s="10">
        <f>AB69+AB70*AB2-AB58</f>
        <v/>
      </c>
      <c r="AC71" s="10">
        <f>AC69+AC70*AC2-AC58</f>
        <v/>
      </c>
    </row>
    <row r="72">
      <c r="A72" s="1" t="inlineStr">
        <is>
          <t>ТАРИФ: ставка за гектар</t>
        </is>
      </c>
      <c r="B72" t="inlineStr">
        <is>
          <t>сум/га</t>
        </is>
      </c>
      <c r="C72" s="12">
        <f>C69/(1-overhead_pct-target_margin_pct)</f>
        <v/>
      </c>
      <c r="D72" s="12">
        <f>D69/(1-overhead_pct-target_margin_pct)</f>
        <v/>
      </c>
      <c r="E72" s="12">
        <f>E69/(1-overhead_pct-target_margin_pct)</f>
        <v/>
      </c>
      <c r="F72" s="12">
        <f>F69/(1-overhead_pct-target_margin_pct)</f>
        <v/>
      </c>
      <c r="G72" s="12">
        <f>G69/(1-overhead_pct-target_margin_pct)</f>
        <v/>
      </c>
      <c r="H72" s="12">
        <f>H69/(1-overhead_pct-target_margin_pct)</f>
        <v/>
      </c>
      <c r="I72" s="12">
        <f>I69/(1-overhead_pct-target_margin_pct)</f>
        <v/>
      </c>
      <c r="J72" s="12">
        <f>J69/(1-overhead_pct-target_margin_pct)</f>
        <v/>
      </c>
      <c r="K72" s="12">
        <f>K69/(1-overhead_pct-target_margin_pct)</f>
        <v/>
      </c>
      <c r="L72" s="12">
        <f>L69/(1-overhead_pct-target_margin_pct)</f>
        <v/>
      </c>
      <c r="M72" s="12">
        <f>M69/(1-overhead_pct-target_margin_pct)</f>
        <v/>
      </c>
      <c r="N72" s="12">
        <f>N69/(1-overhead_pct-target_margin_pct)</f>
        <v/>
      </c>
      <c r="O72" s="12">
        <f>O69/(1-overhead_pct-target_margin_pct)</f>
        <v/>
      </c>
      <c r="P72" s="12">
        <f>P69/(1-overhead_pct-target_margin_pct)</f>
        <v/>
      </c>
      <c r="Q72" s="12">
        <f>Q69/(1-overhead_pct-target_margin_pct)</f>
        <v/>
      </c>
      <c r="R72" s="12">
        <f>R69/(1-overhead_pct-target_margin_pct)</f>
        <v/>
      </c>
      <c r="S72" s="12">
        <f>S69/(1-overhead_pct-target_margin_pct)</f>
        <v/>
      </c>
      <c r="T72" s="12">
        <f>T69/(1-overhead_pct-target_margin_pct)</f>
        <v/>
      </c>
      <c r="U72" s="12">
        <f>U69/(1-overhead_pct-target_margin_pct)</f>
        <v/>
      </c>
      <c r="V72" s="12">
        <f>V69/(1-overhead_pct-target_margin_pct)</f>
        <v/>
      </c>
      <c r="W72" s="12">
        <f>W69/(1-overhead_pct-target_margin_pct)</f>
        <v/>
      </c>
      <c r="X72" s="12">
        <f>X69/(1-overhead_pct-target_margin_pct)</f>
        <v/>
      </c>
      <c r="Y72" s="12">
        <f>Y69/(1-overhead_pct-target_margin_pct)</f>
        <v/>
      </c>
      <c r="Z72" s="12">
        <f>Z69/(1-overhead_pct-target_margin_pct)</f>
        <v/>
      </c>
      <c r="AA72" s="12">
        <f>AA69/(1-overhead_pct-target_margin_pct)</f>
        <v/>
      </c>
      <c r="AB72" s="12">
        <f>AB69/(1-overhead_pct-target_margin_pct)</f>
        <v/>
      </c>
      <c r="AC72" s="12">
        <f>AC69/(1-overhead_pct-target_margin_pct)</f>
        <v/>
      </c>
    </row>
    <row r="73">
      <c r="A73" t="inlineStr">
        <is>
          <t>ТАРИФ: ставка за килограмм удобрения</t>
        </is>
      </c>
      <c r="B73" t="inlineStr">
        <is>
          <t>сум/кг</t>
        </is>
      </c>
      <c r="C73" s="10">
        <f>C70/(1-overhead_pct-target_margin_pct)</f>
        <v/>
      </c>
      <c r="D73" s="10">
        <f>D70/(1-overhead_pct-target_margin_pct)</f>
        <v/>
      </c>
      <c r="E73" s="10">
        <f>E70/(1-overhead_pct-target_margin_pct)</f>
        <v/>
      </c>
      <c r="F73" s="10">
        <f>F70/(1-overhead_pct-target_margin_pct)</f>
        <v/>
      </c>
      <c r="G73" s="10">
        <f>G70/(1-overhead_pct-target_margin_pct)</f>
        <v/>
      </c>
      <c r="H73" s="10">
        <f>H70/(1-overhead_pct-target_margin_pct)</f>
        <v/>
      </c>
      <c r="I73" s="10">
        <f>I70/(1-overhead_pct-target_margin_pct)</f>
        <v/>
      </c>
      <c r="J73" s="10">
        <f>J70/(1-overhead_pct-target_margin_pct)</f>
        <v/>
      </c>
      <c r="K73" s="10">
        <f>K70/(1-overhead_pct-target_margin_pct)</f>
        <v/>
      </c>
      <c r="L73" s="10">
        <f>L70/(1-overhead_pct-target_margin_pct)</f>
        <v/>
      </c>
      <c r="M73" s="10">
        <f>M70/(1-overhead_pct-target_margin_pct)</f>
        <v/>
      </c>
      <c r="N73" s="10">
        <f>N70/(1-overhead_pct-target_margin_pct)</f>
        <v/>
      </c>
      <c r="O73" s="10">
        <f>O70/(1-overhead_pct-target_margin_pct)</f>
        <v/>
      </c>
      <c r="P73" s="10">
        <f>P70/(1-overhead_pct-target_margin_pct)</f>
        <v/>
      </c>
      <c r="Q73" s="10">
        <f>Q70/(1-overhead_pct-target_margin_pct)</f>
        <v/>
      </c>
      <c r="R73" s="10">
        <f>R70/(1-overhead_pct-target_margin_pct)</f>
        <v/>
      </c>
      <c r="S73" s="10">
        <f>S70/(1-overhead_pct-target_margin_pct)</f>
        <v/>
      </c>
      <c r="T73" s="10">
        <f>T70/(1-overhead_pct-target_margin_pct)</f>
        <v/>
      </c>
      <c r="U73" s="10">
        <f>U70/(1-overhead_pct-target_margin_pct)</f>
        <v/>
      </c>
      <c r="V73" s="10">
        <f>V70/(1-overhead_pct-target_margin_pct)</f>
        <v/>
      </c>
      <c r="W73" s="10">
        <f>W70/(1-overhead_pct-target_margin_pct)</f>
        <v/>
      </c>
      <c r="X73" s="10">
        <f>X70/(1-overhead_pct-target_margin_pct)</f>
        <v/>
      </c>
      <c r="Y73" s="10">
        <f>Y70/(1-overhead_pct-target_margin_pct)</f>
        <v/>
      </c>
      <c r="Z73" s="10">
        <f>Z70/(1-overhead_pct-target_margin_pct)</f>
        <v/>
      </c>
      <c r="AA73" s="10">
        <f>AA70/(1-overhead_pct-target_margin_pct)</f>
        <v/>
      </c>
      <c r="AB73" s="10">
        <f>AB70/(1-overhead_pct-target_margin_pct)</f>
        <v/>
      </c>
      <c r="AC73" s="10">
        <f>AC70/(1-overhead_pct-target_margin_pct)</f>
        <v/>
      </c>
    </row>
    <row r="74">
      <c r="A74" s="1" t="inlineStr">
        <is>
          <t>ТАРИФ: ставка за тонну удобрения</t>
        </is>
      </c>
      <c r="B74" t="inlineStr">
        <is>
          <t>сум/т</t>
        </is>
      </c>
      <c r="C74" s="12">
        <f>C73*1000</f>
        <v/>
      </c>
      <c r="D74" s="12">
        <f>D73*1000</f>
        <v/>
      </c>
      <c r="E74" s="12">
        <f>E73*1000</f>
        <v/>
      </c>
      <c r="F74" s="12">
        <f>F73*1000</f>
        <v/>
      </c>
      <c r="G74" s="12">
        <f>G73*1000</f>
        <v/>
      </c>
      <c r="H74" s="12">
        <f>H73*1000</f>
        <v/>
      </c>
      <c r="I74" s="12">
        <f>I73*1000</f>
        <v/>
      </c>
      <c r="J74" s="12">
        <f>J73*1000</f>
        <v/>
      </c>
      <c r="K74" s="12">
        <f>K73*1000</f>
        <v/>
      </c>
      <c r="L74" s="12">
        <f>L73*1000</f>
        <v/>
      </c>
      <c r="M74" s="12">
        <f>M73*1000</f>
        <v/>
      </c>
      <c r="N74" s="12">
        <f>N73*1000</f>
        <v/>
      </c>
      <c r="O74" s="12">
        <f>O73*1000</f>
        <v/>
      </c>
      <c r="P74" s="12">
        <f>P73*1000</f>
        <v/>
      </c>
      <c r="Q74" s="12">
        <f>Q73*1000</f>
        <v/>
      </c>
      <c r="R74" s="12">
        <f>R73*1000</f>
        <v/>
      </c>
      <c r="S74" s="12">
        <f>S73*1000</f>
        <v/>
      </c>
      <c r="T74" s="12">
        <f>T73*1000</f>
        <v/>
      </c>
      <c r="U74" s="12">
        <f>U73*1000</f>
        <v/>
      </c>
      <c r="V74" s="12">
        <f>V73*1000</f>
        <v/>
      </c>
      <c r="W74" s="12">
        <f>W73*1000</f>
        <v/>
      </c>
      <c r="X74" s="12">
        <f>X73*1000</f>
        <v/>
      </c>
      <c r="Y74" s="12">
        <f>Y73*1000</f>
        <v/>
      </c>
      <c r="Z74" s="12">
        <f>Z73*1000</f>
        <v/>
      </c>
      <c r="AA74" s="12">
        <f>AA73*1000</f>
        <v/>
      </c>
      <c r="AB74" s="12">
        <f>AB73*1000</f>
        <v/>
      </c>
      <c r="AC74" s="12">
        <f>AC73*1000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Параметр (сценарий 250 кг/га)</t>
        </is>
      </c>
      <c r="B1" s="1" t="inlineStr">
        <is>
          <t>Множитель</t>
        </is>
      </c>
      <c r="C1" s="1" t="inlineStr">
        <is>
          <t>Целевой тариф, сум/га</t>
        </is>
      </c>
      <c r="D1" s="1" t="inlineStr">
        <is>
          <t>Отклонение от базы, %</t>
        </is>
      </c>
      <c r="E1" s="1" t="inlineStr">
        <is>
          <t>Га за день</t>
        </is>
      </c>
      <c r="F1" s="1" t="inlineStr">
        <is>
          <t>Отклонение, %</t>
        </is>
      </c>
    </row>
    <row r="2">
      <c r="A2" t="inlineStr">
        <is>
          <t>База 250 кг/га</t>
        </is>
      </c>
      <c r="B2" t="n">
        <v>1</v>
      </c>
      <c r="C2">
        <f>'Расчёт'!F60</f>
        <v/>
      </c>
      <c r="D2" t="n">
        <v>0</v>
      </c>
      <c r="E2">
        <f>'Расчёт'!F35</f>
        <v/>
      </c>
      <c r="F2" t="n">
        <v>0</v>
      </c>
    </row>
    <row r="3">
      <c r="A3" t="inlineStr">
        <is>
          <t>эффективные часы</t>
        </is>
      </c>
      <c r="B3" s="9" t="n">
        <v>0.8</v>
      </c>
      <c r="C3" s="10">
        <f>'Расчёт'!L60</f>
        <v/>
      </c>
      <c r="D3" s="13">
        <f>C3/$C$2-1</f>
        <v/>
      </c>
      <c r="E3" s="9">
        <f>'Расчёт'!L35</f>
        <v/>
      </c>
      <c r="F3" s="13">
        <f>E3/$E$2-1</f>
        <v/>
      </c>
    </row>
    <row r="4">
      <c r="A4" t="inlineStr">
        <is>
          <t>эффективные часы</t>
        </is>
      </c>
      <c r="B4" s="9" t="n">
        <v>1.2</v>
      </c>
      <c r="C4" s="10">
        <f>'Расчёт'!M60</f>
        <v/>
      </c>
      <c r="D4" s="13">
        <f>C4/$C$2-1</f>
        <v/>
      </c>
      <c r="E4" s="9">
        <f>'Расчёт'!M35</f>
        <v/>
      </c>
      <c r="F4" s="13">
        <f>E4/$E$2-1</f>
        <v/>
      </c>
    </row>
    <row r="5">
      <c r="A5" t="inlineStr">
        <is>
          <t>время загрузки</t>
        </is>
      </c>
      <c r="B5" s="9" t="n">
        <v>0.8</v>
      </c>
      <c r="C5" s="10">
        <f>'Расчёт'!N60</f>
        <v/>
      </c>
      <c r="D5" s="13">
        <f>C5/$C$2-1</f>
        <v/>
      </c>
      <c r="E5" s="9">
        <f>'Расчёт'!N35</f>
        <v/>
      </c>
      <c r="F5" s="13">
        <f>E5/$E$2-1</f>
        <v/>
      </c>
    </row>
    <row r="6">
      <c r="A6" t="inlineStr">
        <is>
          <t>время загрузки</t>
        </is>
      </c>
      <c r="B6" s="9" t="n">
        <v>1.2</v>
      </c>
      <c r="C6" s="10">
        <f>'Расчёт'!O60</f>
        <v/>
      </c>
      <c r="D6" s="13">
        <f>C6/$C$2-1</f>
        <v/>
      </c>
      <c r="E6" s="9">
        <f>'Расчёт'!O35</f>
        <v/>
      </c>
      <c r="F6" s="13">
        <f>E6/$E$2-1</f>
        <v/>
      </c>
    </row>
    <row r="7">
      <c r="A7" t="inlineStr">
        <is>
          <t>накладное время вылета</t>
        </is>
      </c>
      <c r="B7" s="9" t="n">
        <v>0.8</v>
      </c>
      <c r="C7" s="10">
        <f>'Расчёт'!P60</f>
        <v/>
      </c>
      <c r="D7" s="13">
        <f>C7/$C$2-1</f>
        <v/>
      </c>
      <c r="E7" s="9">
        <f>'Расчёт'!P35</f>
        <v/>
      </c>
      <c r="F7" s="13">
        <f>E7/$E$2-1</f>
        <v/>
      </c>
    </row>
    <row r="8">
      <c r="A8" t="inlineStr">
        <is>
          <t>накладное время вылета</t>
        </is>
      </c>
      <c r="B8" s="9" t="n">
        <v>1.2</v>
      </c>
      <c r="C8" s="10">
        <f>'Расчёт'!Q60</f>
        <v/>
      </c>
      <c r="D8" s="13">
        <f>C8/$C$2-1</f>
        <v/>
      </c>
      <c r="E8" s="9">
        <f>'Расчёт'!Q35</f>
        <v/>
      </c>
      <c r="F8" s="13">
        <f>E8/$E$2-1</f>
        <v/>
      </c>
    </row>
    <row r="9">
      <c r="A9" t="inlineStr">
        <is>
          <t>полезная нагрузка</t>
        </is>
      </c>
      <c r="B9" s="9" t="n">
        <v>0.9</v>
      </c>
      <c r="C9" s="10">
        <f>'Расчёт'!R60</f>
        <v/>
      </c>
      <c r="D9" s="13">
        <f>C9/$C$2-1</f>
        <v/>
      </c>
      <c r="E9" s="9">
        <f>'Расчёт'!R35</f>
        <v/>
      </c>
      <c r="F9" s="13">
        <f>E9/$E$2-1</f>
        <v/>
      </c>
    </row>
    <row r="10">
      <c r="A10" t="inlineStr">
        <is>
          <t>полезная нагрузка</t>
        </is>
      </c>
      <c r="B10" s="9" t="n">
        <v>1.1</v>
      </c>
      <c r="C10" s="10">
        <f>'Расчёт'!S60</f>
        <v/>
      </c>
      <c r="D10" s="13">
        <f>C10/$C$2-1</f>
        <v/>
      </c>
      <c r="E10" s="9">
        <f>'Расчёт'!S35</f>
        <v/>
      </c>
      <c r="F10" s="13">
        <f>E10/$E$2-1</f>
        <v/>
      </c>
    </row>
    <row r="11">
      <c r="A11" t="inlineStr">
        <is>
          <t>цена батареи</t>
        </is>
      </c>
      <c r="B11" s="9" t="n">
        <v>0.8</v>
      </c>
      <c r="C11" s="10">
        <f>'Расчёт'!T60</f>
        <v/>
      </c>
      <c r="D11" s="13">
        <f>C11/$C$2-1</f>
        <v/>
      </c>
      <c r="E11" s="9">
        <f>'Расчёт'!T35</f>
        <v/>
      </c>
      <c r="F11" s="13">
        <f>E11/$E$2-1</f>
        <v/>
      </c>
    </row>
    <row r="12">
      <c r="A12" t="inlineStr">
        <is>
          <t>цена батареи</t>
        </is>
      </c>
      <c r="B12" s="9" t="n">
        <v>1.2</v>
      </c>
      <c r="C12" s="10">
        <f>'Расчёт'!U60</f>
        <v/>
      </c>
      <c r="D12" s="13">
        <f>C12/$C$2-1</f>
        <v/>
      </c>
      <c r="E12" s="9">
        <f>'Расчёт'!U35</f>
        <v/>
      </c>
      <c r="F12" s="13">
        <f>E12/$E$2-1</f>
        <v/>
      </c>
    </row>
    <row r="13">
      <c r="A13" t="inlineStr">
        <is>
          <t>оплата пилота</t>
        </is>
      </c>
      <c r="B13" s="9" t="n">
        <v>0.8</v>
      </c>
      <c r="C13" s="10">
        <f>'Расчёт'!V60</f>
        <v/>
      </c>
      <c r="D13" s="13">
        <f>C13/$C$2-1</f>
        <v/>
      </c>
      <c r="E13" s="9">
        <f>'Расчёт'!V35</f>
        <v/>
      </c>
      <c r="F13" s="13">
        <f>E13/$E$2-1</f>
        <v/>
      </c>
    </row>
    <row r="14">
      <c r="A14" t="inlineStr">
        <is>
          <t>оплата пилота</t>
        </is>
      </c>
      <c r="B14" s="9" t="n">
        <v>1.2</v>
      </c>
      <c r="C14" s="10">
        <f>'Расчёт'!W60</f>
        <v/>
      </c>
      <c r="D14" s="13">
        <f>C14/$C$2-1</f>
        <v/>
      </c>
      <c r="E14" s="9">
        <f>'Расчёт'!W35</f>
        <v/>
      </c>
      <c r="F14" s="13">
        <f>E14/$E$2-1</f>
        <v/>
      </c>
    </row>
    <row r="15">
      <c r="A15" t="inlineStr">
        <is>
          <t>цена бензина</t>
        </is>
      </c>
      <c r="B15" s="9" t="n">
        <v>0.8</v>
      </c>
      <c r="C15" s="10">
        <f>'Расчёт'!X60</f>
        <v/>
      </c>
      <c r="D15" s="13">
        <f>C15/$C$2-1</f>
        <v/>
      </c>
      <c r="E15" s="9">
        <f>'Расчёт'!X35</f>
        <v/>
      </c>
      <c r="F15" s="13">
        <f>E15/$E$2-1</f>
        <v/>
      </c>
    </row>
    <row r="16">
      <c r="A16" t="inlineStr">
        <is>
          <t>цена бензина</t>
        </is>
      </c>
      <c r="B16" s="9" t="n">
        <v>1.2</v>
      </c>
      <c r="C16" s="10">
        <f>'Расчёт'!Y60</f>
        <v/>
      </c>
      <c r="D16" s="13">
        <f>C16/$C$2-1</f>
        <v/>
      </c>
      <c r="E16" s="9">
        <f>'Расчёт'!Y35</f>
        <v/>
      </c>
      <c r="F16" s="13">
        <f>E16/$E$2-1</f>
        <v/>
      </c>
    </row>
    <row r="17">
      <c r="A17" t="inlineStr">
        <is>
          <t>ресурс батареи</t>
        </is>
      </c>
      <c r="B17" s="9" t="n">
        <v>0.8</v>
      </c>
      <c r="C17" s="10">
        <f>'Расчёт'!Z60</f>
        <v/>
      </c>
      <c r="D17" s="13">
        <f>C17/$C$2-1</f>
        <v/>
      </c>
      <c r="E17" s="9">
        <f>'Расчёт'!Z35</f>
        <v/>
      </c>
      <c r="F17" s="13">
        <f>E17/$E$2-1</f>
        <v/>
      </c>
    </row>
    <row r="18">
      <c r="A18" t="inlineStr">
        <is>
          <t>ресурс батареи</t>
        </is>
      </c>
      <c r="B18" s="9" t="n">
        <v>1.2</v>
      </c>
      <c r="C18" s="10">
        <f>'Расчёт'!AA60</f>
        <v/>
      </c>
      <c r="D18" s="13">
        <f>C18/$C$2-1</f>
        <v/>
      </c>
      <c r="E18" s="9">
        <f>'Расчёт'!AA35</f>
        <v/>
      </c>
      <c r="F18" s="13">
        <f>E18/$E$2-1</f>
        <v/>
      </c>
    </row>
    <row r="19">
      <c r="A19" t="inlineStr">
        <is>
          <t>рабочих дней в сезоне</t>
        </is>
      </c>
      <c r="B19" s="9" t="n">
        <v>0.8</v>
      </c>
      <c r="C19" s="10">
        <f>'Расчёт'!AB60</f>
        <v/>
      </c>
      <c r="D19" s="13">
        <f>C19/$C$2-1</f>
        <v/>
      </c>
      <c r="E19" s="9">
        <f>'Расчёт'!AB35</f>
        <v/>
      </c>
      <c r="F19" s="13">
        <f>E19/$E$2-1</f>
        <v/>
      </c>
    </row>
    <row r="20">
      <c r="A20" t="inlineStr">
        <is>
          <t>рабочих дней в сезоне</t>
        </is>
      </c>
      <c r="B20" s="9" t="n">
        <v>1.2</v>
      </c>
      <c r="C20" s="10">
        <f>'Расчёт'!AC60</f>
        <v/>
      </c>
      <c r="D20" s="13">
        <f>C20/$C$2-1</f>
        <v/>
      </c>
      <c r="E20" s="9">
        <f>'Расчёт'!AC35</f>
        <v/>
      </c>
      <c r="F20" s="13">
        <f>E20/$E$2-1</f>
        <v/>
      </c>
    </row>
    <row r="22">
      <c r="A22" s="5" t="inlineStr">
        <is>
          <t>Чтение: чем больше отклонение при одинаковом множителе, тем сильнее параметр влияет на тариф. Это и есть то, что надо измерять в пилоте первым.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26" customWidth="1" min="3" max="3"/>
    <col width="26" customWidth="1" min="4" max="4"/>
  </cols>
  <sheetData>
    <row r="1">
      <c r="A1" s="1" t="inlineStr">
        <is>
          <t>Показатель</t>
        </is>
      </c>
      <c r="B1" s="1" t="inlineStr">
        <is>
          <t>Единица</t>
        </is>
      </c>
      <c r="C1" s="1" t="inlineStr">
        <is>
          <t>База 150 кг/га (карбамид)</t>
        </is>
      </c>
      <c r="D1" s="1" t="inlineStr">
        <is>
          <t>База 250 кг/га (селитра)</t>
        </is>
      </c>
    </row>
    <row r="2">
      <c r="A2" t="inlineStr">
        <is>
          <t>Гектаров за сезон на один борт</t>
        </is>
      </c>
      <c r="B2" t="inlineStr">
        <is>
          <t>га</t>
        </is>
      </c>
      <c r="C2" s="9">
        <f>'Расчёт'!D35*days_per_season</f>
        <v/>
      </c>
      <c r="D2" s="9">
        <f>'Расчёт'!F35*days_per_season</f>
        <v/>
      </c>
    </row>
    <row r="3">
      <c r="A3" t="inlineStr">
        <is>
          <t>Гектаров за сезон, все борта</t>
        </is>
      </c>
      <c r="B3" t="inlineStr">
        <is>
          <t>га</t>
        </is>
      </c>
      <c r="C3" s="9">
        <f>C2*drones_in_winter</f>
        <v/>
      </c>
      <c r="D3" s="9">
        <f>D2*drones_in_winter</f>
        <v/>
      </c>
    </row>
    <row r="4">
      <c r="A4" t="inlineStr">
        <is>
          <t>Выручка по целевому тарифу</t>
        </is>
      </c>
      <c r="B4" t="inlineStr">
        <is>
          <t>сум</t>
        </is>
      </c>
      <c r="C4" s="10">
        <f>C3*'Расчёт'!D60</f>
        <v/>
      </c>
      <c r="D4" s="10">
        <f>D3*'Расчёт'!F60</f>
        <v/>
      </c>
    </row>
    <row r="5">
      <c r="A5" t="inlineStr">
        <is>
          <t>Прямые затраты</t>
        </is>
      </c>
      <c r="B5" t="inlineStr">
        <is>
          <t>сум</t>
        </is>
      </c>
      <c r="C5" s="10">
        <f>C3*'Расчёт'!D58</f>
        <v/>
      </c>
      <c r="D5" s="10">
        <f>D3*'Расчёт'!F58</f>
        <v/>
      </c>
    </row>
    <row r="6">
      <c r="A6" t="inlineStr">
        <is>
          <t>Накладные</t>
        </is>
      </c>
      <c r="B6" t="inlineStr">
        <is>
          <t>сум</t>
        </is>
      </c>
      <c r="C6" s="10">
        <f>C4*overhead_pct</f>
        <v/>
      </c>
      <c r="D6" s="10">
        <f>D4*overhead_pct</f>
        <v/>
      </c>
    </row>
    <row r="7">
      <c r="A7" t="inlineStr">
        <is>
          <t>Разбрасывателей докупить</t>
        </is>
      </c>
      <c r="B7" t="inlineStr">
        <is>
          <t>шт</t>
        </is>
      </c>
      <c r="C7" s="9">
        <f>MAX(0,drones_in_winter-spreaders_owned)</f>
        <v/>
      </c>
      <c r="D7" s="9">
        <f>MAX(0,drones_in_winter-spreaders_owned)</f>
        <v/>
      </c>
    </row>
    <row r="8">
      <c r="A8" t="inlineStr">
        <is>
          <t>Разовые расходы сезона</t>
        </is>
      </c>
      <c r="B8" t="inlineStr">
        <is>
          <t>сум</t>
        </is>
      </c>
      <c r="C8" s="10">
        <f>C7*spreader_price_usd*usd_rate+season_one_time_other</f>
        <v/>
      </c>
      <c r="D8" s="10">
        <f>D7*spreader_price_usd*usd_rate+season_one_time_other</f>
        <v/>
      </c>
    </row>
    <row r="9">
      <c r="A9" t="inlineStr">
        <is>
          <t>Маржа до разовых расходов</t>
        </is>
      </c>
      <c r="B9" t="inlineStr">
        <is>
          <t>сум</t>
        </is>
      </c>
      <c r="C9" s="10">
        <f>C4-C5-C6</f>
        <v/>
      </c>
      <c r="D9" s="10">
        <f>D4-D5-D6</f>
        <v/>
      </c>
    </row>
    <row r="10">
      <c r="A10" s="1" t="inlineStr">
        <is>
          <t>РЕЗУЛЬТАТ СЕЗОНА</t>
        </is>
      </c>
      <c r="B10" t="inlineStr">
        <is>
          <t>сум</t>
        </is>
      </c>
      <c r="C10" s="12">
        <f>C9-C8</f>
        <v/>
      </c>
      <c r="D10" s="12">
        <f>D9-D8</f>
        <v/>
      </c>
    </row>
    <row r="11">
      <c r="A11" t="inlineStr">
        <is>
          <t>Результат сезона</t>
        </is>
      </c>
      <c r="B11" t="inlineStr">
        <is>
          <t>USD</t>
        </is>
      </c>
      <c r="C11" s="10">
        <f>C10/usd_rate</f>
        <v/>
      </c>
      <c r="D11" s="10">
        <f>D10/usd_rate</f>
        <v/>
      </c>
    </row>
    <row r="13">
      <c r="A13" s="5" t="inlineStr">
        <is>
          <t>Для сравнения: сентябрь 2026 -- около 7 000 га опрыскивания в месяц по 200 000 сум/га, то есть ~1,4 млрд сум выручки за месяц пика. Зимнее разбрасывание -- заполнение простоя, не второй сезон.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>
      <c r="A1" s="1" t="inlineStr">
        <is>
          <t>КАЛИБРОВКА: та же модель затрат для текущего опрыскивания</t>
        </is>
      </c>
      <c r="B1" t="inlineStr">
        <is>
          <t>Единица</t>
        </is>
      </c>
      <c r="C1" t="inlineStr">
        <is>
          <t>Значение</t>
        </is>
      </c>
    </row>
    <row r="2">
      <c r="A2" t="inlineStr">
        <is>
          <t>Вылетов в час</t>
        </is>
      </c>
      <c r="B2" t="inlineStr">
        <is>
          <t>шт</t>
        </is>
      </c>
      <c r="C2" s="9">
        <f>60/(liq_flight_min+liq_refill_min)</f>
        <v/>
      </c>
    </row>
    <row r="3">
      <c r="A3" t="inlineStr">
        <is>
          <t>Гектаров за день</t>
        </is>
      </c>
      <c r="B3" t="inlineStr">
        <is>
          <t>га</t>
        </is>
      </c>
      <c r="C3" s="9">
        <f>C2*liq_ha_per_flight*eff_hours_per_day</f>
        <v/>
      </c>
    </row>
    <row r="4">
      <c r="A4" t="inlineStr">
        <is>
          <t>Доля цикла батареи за вылет</t>
        </is>
      </c>
      <c r="B4" t="inlineStr">
        <is>
          <t>доля</t>
        </is>
      </c>
      <c r="C4" s="9">
        <f>liq_flight_min/liq_cycle_equiv_min</f>
        <v/>
      </c>
    </row>
    <row r="5">
      <c r="A5" t="inlineStr">
        <is>
          <t>Износ батареи за вылет</t>
        </is>
      </c>
      <c r="B5" t="inlineStr">
        <is>
          <t>сум</t>
        </is>
      </c>
      <c r="C5" s="10">
        <f>battery_price_usd*usd_rate/battery_cycles*C4</f>
        <v/>
      </c>
    </row>
    <row r="6">
      <c r="A6" t="inlineStr">
        <is>
          <t>Бензин за вылет</t>
        </is>
      </c>
      <c r="B6" t="inlineStr">
        <is>
          <t>сум</t>
        </is>
      </c>
      <c r="C6" s="10">
        <f>battery_kwh*C4/charge_eff*gen_l_per_kwh*petrol_price</f>
        <v/>
      </c>
    </row>
    <row r="7">
      <c r="A7" t="inlineStr">
        <is>
          <t>Износ дрона за вылет</t>
        </is>
      </c>
      <c r="B7" t="inlineStr">
        <is>
          <t>сум</t>
        </is>
      </c>
      <c r="C7" s="10">
        <f>drone_wear_usd_h*usd_rate*liq_flight_min/60</f>
        <v/>
      </c>
    </row>
    <row r="8">
      <c r="A8" t="inlineStr">
        <is>
          <t>Итого за вылет</t>
        </is>
      </c>
      <c r="B8" t="inlineStr">
        <is>
          <t>сум</t>
        </is>
      </c>
      <c r="C8" s="10">
        <f>C5+C6+C7</f>
        <v/>
      </c>
    </row>
    <row r="9">
      <c r="A9" t="inlineStr">
        <is>
          <t>Батареи, бензин, износ на гектар</t>
        </is>
      </c>
      <c r="B9" t="inlineStr">
        <is>
          <t>сум/га</t>
        </is>
      </c>
      <c r="C9" s="10">
        <f>C8/liq_ha_per_flight</f>
        <v/>
      </c>
    </row>
    <row r="10">
      <c r="A10" t="inlineStr">
        <is>
          <t>Экипаж, транспорт, прочее на гектар</t>
        </is>
      </c>
      <c r="B10" t="inlineStr">
        <is>
          <t>сум/га</t>
        </is>
      </c>
      <c r="C10" s="10">
        <f>(pilot_day+helpers_count*helper_day+vehicle_km*(diesel_l_100km/100*diesel_price+vehicle_wear_km)+per_diem_day+other_day)/C3</f>
        <v/>
      </c>
    </row>
    <row r="11">
      <c r="A11" s="1" t="inlineStr">
        <is>
          <t>ПРЯМАЯ СЕБЕСТОИМОСТЬ ГЕКТАРА ОПРЫСКИВАНИЯ</t>
        </is>
      </c>
      <c r="B11" t="inlineStr">
        <is>
          <t>сум/га</t>
        </is>
      </c>
      <c r="C11" s="12">
        <f>C9+C10</f>
        <v/>
      </c>
    </row>
    <row r="12">
      <c r="A12" t="inlineStr">
        <is>
          <t>Маржа с гектара при 200 000 (после накладных)</t>
        </is>
      </c>
      <c r="B12" t="inlineStr">
        <is>
          <t>сум/га</t>
        </is>
      </c>
      <c r="C12" s="10">
        <f>liquid_tariff_external-C11-liquid_tariff_external*overhead_pct</f>
        <v/>
      </c>
    </row>
    <row r="13">
      <c r="A13" t="inlineStr">
        <is>
          <t>Внутренняя ставка минус прямая себестоимость</t>
        </is>
      </c>
      <c r="B13" t="inlineStr">
        <is>
          <t>сум/га</t>
        </is>
      </c>
      <c r="C13" s="10">
        <f>liquid_tariff_internal-C11</f>
        <v/>
      </c>
    </row>
    <row r="14">
      <c r="A14" s="5" t="inlineStr">
        <is>
          <t>Чтение: прямая себестоимость опрыскивания по этой модели должна лечь рядом с внутренней ставкой 75-86 тыс. сум/га. Если нет -- входы блока «Люди и транспорт» завышены или занижены.</t>
        </is>
      </c>
    </row>
    <row r="16">
      <c r="A16" s="1" t="inlineStr">
        <is>
          <t>СТОРОНА ФЕРМЕРА: селитра 200 кг/га, двухставочный тариф базы 250</t>
        </is>
      </c>
    </row>
    <row r="17">
      <c r="A17" t="inlineStr">
        <is>
          <t>Норма внесения</t>
        </is>
      </c>
      <c r="B17" t="inlineStr">
        <is>
          <t>кг/га</t>
        </is>
      </c>
      <c r="C17" s="14">
        <f>200</f>
        <v/>
      </c>
    </row>
    <row r="18">
      <c r="A18" t="inlineStr">
        <is>
          <t>Стоимость удобрения</t>
        </is>
      </c>
      <c r="B18" t="inlineStr">
        <is>
          <t>сум/га</t>
        </is>
      </c>
      <c r="C18" s="10">
        <f>C17/1000*nitrate_price_t</f>
        <v/>
      </c>
    </row>
    <row r="19">
      <c r="A19" t="inlineStr">
        <is>
          <t>Услуга дрона: ставка за га + ставка за кг x норма</t>
        </is>
      </c>
      <c r="B19" t="inlineStr">
        <is>
          <t>сум/га</t>
        </is>
      </c>
      <c r="C19" s="10">
        <f>'Расчёт'!F72+'Расчёт'!F73*C17</f>
        <v/>
      </c>
    </row>
    <row r="20">
      <c r="A20" t="inlineStr">
        <is>
          <t>Итого подкормка дроном</t>
        </is>
      </c>
      <c r="B20" t="inlineStr">
        <is>
          <t>сум/га</t>
        </is>
      </c>
      <c r="C20" s="10">
        <f>C18+C19</f>
        <v/>
      </c>
    </row>
    <row r="21">
      <c r="A21" t="inlineStr">
        <is>
          <t>Итого подкормка трактором/вручную</t>
        </is>
      </c>
      <c r="B21" t="inlineStr">
        <is>
          <t>сум/га</t>
        </is>
      </c>
      <c r="C21" s="10">
        <f>C18+ground_spread_cost_ha</f>
        <v/>
      </c>
    </row>
    <row r="22">
      <c r="A22" t="inlineStr">
        <is>
          <t>Надбавка за дрон против наземной альтернативы</t>
        </is>
      </c>
      <c r="B22" t="inlineStr">
        <is>
          <t>сум/га</t>
        </is>
      </c>
      <c r="C22" s="12">
        <f>C19-ground_spread_cost_ha</f>
        <v/>
      </c>
    </row>
    <row r="23">
      <c r="A23" t="inlineStr">
        <is>
          <t>Прибавка урожая, окупающая надбавку</t>
        </is>
      </c>
      <c r="B23" t="inlineStr">
        <is>
          <t>кг/га</t>
        </is>
      </c>
      <c r="C23" s="14">
        <f>C22/wheat_price_t*1000</f>
        <v/>
      </c>
    </row>
    <row r="24">
      <c r="A24" t="inlineStr">
        <is>
          <t>Та же прибавка в долях урожая</t>
        </is>
      </c>
      <c r="B24" t="inlineStr">
        <is>
          <t>доля</t>
        </is>
      </c>
      <c r="C24" s="15">
        <f>C23/1000/wheat_yield_t_ha</f>
        <v/>
      </c>
    </row>
    <row r="25">
      <c r="A25" t="inlineStr">
        <is>
          <t>Услуга к стоимости удобрения</t>
        </is>
      </c>
      <c r="B25" t="inlineStr">
        <is>
          <t>доля</t>
        </is>
      </c>
      <c r="C25" s="13">
        <f>C19/C18</f>
        <v/>
      </c>
    </row>
    <row r="27">
      <c r="A27" s="5" t="inlineStr">
        <is>
          <t>Чтение: фермеру дрон выгоден, если своевременность и равномерность дают прибавку урожая не меньше строки «Прибавка урожая, окупающая надбавку». Это главный аргумент КП, и его надо подтвердить агрономом.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ТАРИФ ДЛЯ КП (из сценария «База 250», округление до 5 000 сум)</t>
        </is>
      </c>
      <c r="B1" t="inlineStr"/>
      <c r="C1" t="inlineStr"/>
    </row>
    <row r="2">
      <c r="A2" t="inlineStr">
        <is>
          <t>Ставка за гектар (выезд, облёт поля)</t>
        </is>
      </c>
      <c r="B2" t="inlineStr">
        <is>
          <t>сум/га</t>
        </is>
      </c>
      <c r="C2" s="12">
        <f>ROUND('Расчёт'!F72/5000,0)*5000</f>
        <v/>
      </c>
    </row>
    <row r="3">
      <c r="A3" t="inlineStr">
        <is>
          <t>Ставка за тонну внесённого удобрения</t>
        </is>
      </c>
      <c r="B3" t="inlineStr">
        <is>
          <t>сум/т</t>
        </is>
      </c>
      <c r="C3" s="12">
        <f>ROUND('Расчёт'!F74/5000,0)*5000</f>
        <v/>
      </c>
    </row>
    <row r="5">
      <c r="A5" s="1" t="inlineStr">
        <is>
          <t>Норма, кг/га</t>
        </is>
      </c>
      <c r="B5" s="1" t="inlineStr">
        <is>
          <t>Цена для фермера, сум/га</t>
        </is>
      </c>
      <c r="C5" s="1" t="inlineStr">
        <is>
          <t>К тарифу опрыскивания, раз</t>
        </is>
      </c>
    </row>
    <row r="6">
      <c r="A6" t="n">
        <v>100</v>
      </c>
      <c r="B6" s="10">
        <f>$C$2+$C$3*A6/1000</f>
        <v/>
      </c>
      <c r="C6" s="9">
        <f>B6/liquid_tariff_external</f>
        <v/>
      </c>
    </row>
    <row r="7">
      <c r="A7" t="n">
        <v>150</v>
      </c>
      <c r="B7" s="10">
        <f>$C$2+$C$3*A7/1000</f>
        <v/>
      </c>
      <c r="C7" s="9">
        <f>B7/liquid_tariff_external</f>
        <v/>
      </c>
    </row>
    <row r="8">
      <c r="A8" t="n">
        <v>200</v>
      </c>
      <c r="B8" s="10">
        <f>$C$2+$C$3*A8/1000</f>
        <v/>
      </c>
      <c r="C8" s="9">
        <f>B8/liquid_tariff_external</f>
        <v/>
      </c>
    </row>
    <row r="9">
      <c r="A9" t="n">
        <v>250</v>
      </c>
      <c r="B9" s="10">
        <f>$C$2+$C$3*A9/1000</f>
        <v/>
      </c>
      <c r="C9" s="9">
        <f>B9/liquid_tariff_external</f>
        <v/>
      </c>
    </row>
    <row r="10">
      <c r="A10" t="n">
        <v>300</v>
      </c>
      <c r="B10" s="10">
        <f>$C$2+$C$3*A10/1000</f>
        <v/>
      </c>
      <c r="C10" s="9">
        <f>B10/liquid_tariff_external</f>
        <v/>
      </c>
    </row>
    <row r="12">
      <c r="A12" s="5" t="inlineStr">
        <is>
          <t>Почему две ставки: время над гектаром почти не зависит от нормы, а число вылетов растёт с ней линейно. Один тариф «за гектар» либо разоряет нас при 250 кг/га, либо отпугивает фермера при 100 кг/га. Проверка в книге: строка «Контроль линейности» на листе «Расчёт» равна нулю.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  <col width="60" customWidth="1" min="3" max="3"/>
  </cols>
  <sheetData>
    <row r="1">
      <c r="A1" s="1" t="inlineStr">
        <is>
          <t>Тип</t>
        </is>
      </c>
      <c r="B1" s="1" t="inlineStr">
        <is>
          <t>Утверждение</t>
        </is>
      </c>
      <c r="C1" s="1" t="inlineStr">
        <is>
          <t>Источник</t>
        </is>
      </c>
    </row>
    <row r="2">
      <c r="A2" t="inlineStr">
        <is>
          <t>ФАКТ</t>
        </is>
      </c>
      <c r="B2" s="5" t="inlineStr">
        <is>
          <t>DJI Agras T40: бак разбрасывателя 70 л / 50 кг, ширина 7 м, гранулы 0,5-5 мм, висение 6 мин при 101 кг, 7 мин при 90 кг, 18 мин при 50 кг; заявка 1,5 т/ч* при 149 кг/га, 7 м/с, 3 м</t>
        </is>
      </c>
      <c r="C2" s="5" t="inlineStr">
        <is>
          <t>Страницы DJI (dji.com/t40/specs, support) в пересказе поисковой выдачи; ритейлеры DJI (Dronefly, Ferntech, Aerosmart)</t>
        </is>
      </c>
    </row>
    <row r="3">
      <c r="A3" t="inlineStr">
        <is>
          <t>ФАКТ</t>
        </is>
      </c>
      <c r="B3" s="5" t="inlineStr">
        <is>
          <t>Батарея DB1560 30 000 мА·ч, 52,22 В; розница США 2 499 USD; гарантия 1 000-1 500 циклов (ритейлеры расходятся)</t>
        </is>
      </c>
      <c r="C3" s="5" t="inlineStr">
        <is>
          <t>Dronefly, DSLRPros, Reach.dog, Maverick Drone</t>
        </is>
      </c>
    </row>
    <row r="4">
      <c r="A4" t="inlineStr">
        <is>
          <t>ФАКТ</t>
        </is>
      </c>
      <c r="B4" s="5" t="inlineStr">
        <is>
          <t>Генератор D12000iE: 500 мл/кВт·ч, заряд батареи T40 9-12 мин</t>
        </is>
      </c>
      <c r="C4" s="5" t="inlineStr">
        <is>
          <t>Dronefly, Aerosmart, manualslib (пересказ)</t>
        </is>
      </c>
    </row>
    <row r="5">
      <c r="A5" t="inlineStr">
        <is>
          <t>ФАКТ</t>
        </is>
      </c>
      <c r="B5" s="5" t="inlineStr">
        <is>
          <t>Разбрасыватель T40 Spreading System 3.0: 1 199-1 499 USD; подача до 90 кг/мин</t>
        </is>
      </c>
      <c r="C5" s="5" t="inlineStr">
        <is>
          <t>Uniquephoto, Rippingitoutdoors, rcdrone.top</t>
        </is>
      </c>
    </row>
    <row r="6">
      <c r="A6" t="inlineStr">
        <is>
          <t>ФАКТ</t>
        </is>
      </c>
      <c r="B6" s="5" t="inlineStr">
        <is>
          <t>Дрон T40 б/у 2025 с 3 АКБ: 19 000 USD (США); новый без АКБ 13 499-15 999 USD</t>
        </is>
      </c>
      <c r="C6" s="5" t="inlineStr">
        <is>
          <t>Controller.com, Reach.dog</t>
        </is>
      </c>
    </row>
    <row r="7">
      <c r="A7" t="inlineStr">
        <is>
          <t>ФАКТ</t>
        </is>
      </c>
      <c r="B7" s="5" t="inlineStr">
        <is>
          <t>АИ-92 Ташкент 22.09.2026: 12 600 / 13 900 сум/л; дизель 14 700-15 900 сум/л; биржа дизель апр. 2026 15,86 млн сум/т</t>
        </is>
      </c>
      <c r="C7" s="5" t="inlineStr">
        <is>
          <t>Avtoelon.uz, Autostrada.uz, Kun.uz</t>
        </is>
      </c>
    </row>
    <row r="8">
      <c r="A8" t="inlineStr">
        <is>
          <t>ФАКТ</t>
        </is>
      </c>
      <c r="B8" s="5" t="inlineStr">
        <is>
          <t>Курс ЦБ РУз 29.10.2026: 11 965-12 004 сум/USD</t>
        </is>
      </c>
      <c r="C8" s="5" t="inlineStr">
        <is>
          <t>Kursiv.media, Repost.uz</t>
        </is>
      </c>
    </row>
    <row r="9">
      <c r="A9" t="inlineStr">
        <is>
          <t>ФАКТ</t>
        </is>
      </c>
      <c r="B9" s="5" t="inlineStr">
        <is>
          <t>Аммиачная селитра UZEX, авг. 2026: 3 813,2 -&gt; 3 766,5 тыс. сум/т</t>
        </is>
      </c>
      <c r="C9" s="5" t="inlineStr">
        <is>
          <t>Yuz.uz (биржевой обзор)</t>
        </is>
      </c>
    </row>
    <row r="10">
      <c r="A10" t="inlineStr">
        <is>
          <t>ФАКТ</t>
        </is>
      </c>
      <c r="B10" s="5" t="inlineStr">
        <is>
          <t>Внутренняя ставка опрыскивания 75 040-86 000 сум/га; внешняя 200 000 сум/га; 1,0-1,25 га за вылет; 27-41 л/га; сентябрь 2026 ~7 071 га RAW по 15 бортам</t>
        </is>
      </c>
      <c r="C10" s="5" t="inlineStr">
        <is>
          <t>Репозиторий: docs/tracks/drones.md (DRONE-MONEY-001, DRONE-OCT2025-PRICE-001, UAT 30.09.2026)</t>
        </is>
      </c>
    </row>
    <row r="11">
      <c r="A11" t="inlineStr">
        <is>
          <t>ФАКТ</t>
        </is>
      </c>
      <c r="B11" s="5" t="inlineStr">
        <is>
          <t>Селитра -- наиболее коррозионно-активное удобрение; следы селитры ускоряют коррозию в 2,5 раза</t>
        </is>
      </c>
      <c r="C11" s="5" t="inlineStr">
        <is>
          <t>РГАУ-МСХА, Агроинженерия 2026; Тамбов 2018</t>
        </is>
      </c>
    </row>
    <row r="12">
      <c r="A12" t="inlineStr">
        <is>
          <t>ОЦЕНКА</t>
        </is>
      </c>
      <c r="B12" s="5" t="inlineStr">
        <is>
          <t>Весенняя подкормка озимой пшеницы: Беларусь 120-200 кг/га селитры (оптимум 180); Украина 30-60 кг д.в./га; РФ 65-75 кг д.в./га первой подкормкой; Узбекистан (Хорезм) оптимум 120-180 кг N/га за сезон в зависимости от N почвы; фон N180P90K60 в Кашкадарье</t>
        </is>
      </c>
      <c r="C12" s="5" t="inlineStr">
        <is>
          <t>Горки 2006-08; Зернові культури 2020; Новомосковск; UNESCO/ZEF Khorezm 2005-07; AGRIS Кашкадарья</t>
        </is>
      </c>
    </row>
    <row r="13">
      <c r="A13" t="inlineStr">
        <is>
          <t>ОЦЕНКА</t>
        </is>
      </c>
      <c r="B13" s="5" t="inlineStr">
        <is>
          <t>Первая весенняя подкормка в Узбекистане -- по талой почве аммиачной селитрой (Карши, 2025); три срока подкормок</t>
        </is>
      </c>
      <c r="C13" s="5" t="inlineStr">
        <is>
          <t>vestnik.nauka.kz (аннотация)</t>
        </is>
      </c>
    </row>
    <row r="14">
      <c r="A14" t="inlineStr">
        <is>
          <t>ОЦЕНКА</t>
        </is>
      </c>
      <c r="B14" s="5" t="inlineStr">
        <is>
          <t>Бухара: январь ~1 °C, февраль ~6 °C; дней с осадками 1-5 в месяц; февраль -- самый облачный месяц</t>
        </is>
      </c>
      <c r="C14" s="5" t="inlineStr">
        <is>
          <t>Climate-zone.com, Weather Network (аэропорт Бухара), Яндекс Погода</t>
        </is>
      </c>
    </row>
    <row r="15">
      <c r="A15" t="inlineStr">
        <is>
          <t>ОЦЕНКА</t>
        </is>
      </c>
      <c r="B15" s="5" t="inlineStr">
        <is>
          <t>Ориентир наземной подкормки: сервисные организации Татарстана ~300 руб/га, по мерзлоталой почве -- «Туманы» на шинах низкого давления</t>
        </is>
      </c>
      <c r="C15" s="5" t="inlineStr">
        <is>
          <t>Минсельхоз Татарстана (доклад, без даты)</t>
        </is>
      </c>
    </row>
    <row r="16">
      <c r="A16" t="inlineStr">
        <is>
          <t>ОЦЕНКА</t>
        </is>
      </c>
      <c r="B16" s="5" t="inlineStr">
        <is>
          <t>США: услуги агродронов 8-25 USD/акр; расчёт Missouri Extension: 12,27 USD/акр собственная обработка, наём ~16 USD/акр (жидкость)</t>
        </is>
      </c>
      <c r="C16" s="5" t="inlineStr">
        <is>
          <t>Farmonaut, Missouri Extension g01274</t>
        </is>
      </c>
    </row>
    <row r="17">
      <c r="A17" t="inlineStr">
        <is>
          <t>ДОГАДКА</t>
        </is>
      </c>
      <c r="B17" s="5" t="inlineStr">
        <is>
          <t>Оплата пилота/помощников, пробег, износ, КПД зарядки, цена карбамида и пшеницы 2026, стоимость наземной альтернативы в районе</t>
        </is>
      </c>
      <c r="C17" s="5" t="inlineStr">
        <is>
          <t>Не найдено в открытых источниках -- заданы как редактируемые входы</t>
        </is>
      </c>
    </row>
    <row r="19">
      <c r="A19" s="5" t="inlineStr">
        <is>
          <t>Прямое чтение сайтов из облачной сессии было закрыто сетевой политикой: цифры взяты из поисковых сводок и помечены соответственно. Перед печатью КП сверить цены у поставщика и на UZEX.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2026-10-29T13:07:05Z</dcterms:created>
  <dcterms:modified xmlns:dcterms="http://purl.org/dc/terms/" xmlns:xsi="http://www.w3.org/2001/XMLSchema-instance" xsi:type="dcterms:W3CDTF">2026-10-29T13:07:05Z</dcterms:modified>
</cp:coreProperties>
</file>