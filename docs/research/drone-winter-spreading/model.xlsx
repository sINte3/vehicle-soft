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Чувствительность" sheetId="3" state="visible" r:id="rId3"/>
    <sheet xmlns:r="http://schemas.openxmlformats.org/officeDocument/2006/relationships" name="Сезон" sheetId="4" state="visible" r:id="rId4"/>
    <sheet xmlns:r="http://schemas.openxmlformats.org/officeDocument/2006/relationships" name="Сравнение" sheetId="5" state="visible" r:id="rId5"/>
    <sheet xmlns:r="http://schemas.openxmlformats.org/officeDocument/2006/relationships" name="Тариф для КП" sheetId="6" state="visible" r:id="rId6"/>
    <sheet xmlns:r="http://schemas.openxmlformats.org/officeDocument/2006/relationships" name="Источники" sheetId="7" state="visible" r:id="rId7"/>
  </sheets>
  <definedNames>
    <definedName name="payload_kg">'Параметры'!$C$3</definedName>
    <definedName name="swath_eff_m">'Параметры'!$C$4</definedName>
    <definedName name="speed_ms">'Параметры'!$C$5</definedName>
    <definedName name="overhead_min">'Параметры'!$C$6</definedName>
    <definedName name="reload_min">'Параметры'!$C$7</definedName>
    <definedName name="eff_hours_per_day">'Параметры'!$C$8</definedName>
    <definedName name="days_per_season">'Параметры'!$C$9</definedName>
    <definedName name="flow_kg_min">'Параметры'!$C$10</definedName>
    <definedName name="cycle_equiv_min">'Параметры'!$C$11</definedName>
    <definedName name="max_flight_min">'Параметры'!$C$12</definedName>
    <definedName name="battery_price_usd">'Параметры'!$C$14</definedName>
    <definedName name="battery_cycles">'Параметры'!$C$15</definedName>
    <definedName name="battery_kwh">'Параметры'!$C$16</definedName>
    <definedName name="gen_l_per_kwh">'Параметры'!$C$17</definedName>
    <definedName name="charge_eff">'Параметры'!$C$18</definedName>
    <definedName name="petrol_price">'Параметры'!$C$19</definedName>
    <definedName name="pilot_day">'Параметры'!$C$21</definedName>
    <definedName name="helpers_count">'Параметры'!$C$22</definedName>
    <definedName name="helper_day">'Параметры'!$C$23</definedName>
    <definedName name="vehicle_km">'Параметры'!$C$24</definedName>
    <definedName name="diesel_l_100km">'Параметры'!$C$25</definedName>
    <definedName name="diesel_price">'Параметры'!$C$26</definedName>
    <definedName name="vehicle_wear_km">'Параметры'!$C$27</definedName>
    <definedName name="per_diem_day">'Параметры'!$C$28</definedName>
    <definedName name="other_day">'Параметры'!$C$29</definedName>
    <definedName name="drone_wear_usd_h">'Параметры'!$C$31</definedName>
    <definedName name="fert_wear_premium">'Параметры'!$C$32</definedName>
    <definedName name="spreader_price_usd">'Параметры'!$C$33</definedName>
    <definedName name="spreader_life_seasons">'Параметры'!$C$34</definedName>
    <definedName name="drone_price_usd">'Параметры'!$C$35</definedName>
    <definedName name="drone_life_years">'Параметры'!$C$36</definedName>
    <definedName name="drone_dep_winter_share">'Параметры'!$C$37</definedName>
    <definedName name="overhead_pct">'Параметры'!$C$39</definedName>
    <definedName name="target_margin_pct">'Параметры'!$C$40</definedName>
    <definedName name="usd_rate">'Параметры'!$C$41</definedName>
    <definedName name="liquid_tariff_external">'Параметры'!$C$43</definedName>
    <definedName name="liquid_tariff_internal">'Параметры'!$C$44</definedName>
    <definedName name="nitrate_price_t">'Параметры'!$C$45</definedName>
    <definedName name="urea_price_t">'Параметры'!$C$46</definedName>
    <definedName name="wheat_price_t">'Параметры'!$C$47</definedName>
    <definedName name="wheat_yield_t_ha">'Параметры'!$C$48</definedName>
    <definedName name="ground_spread_cost_ha">'Параметры'!$C$49</definedName>
    <definedName name="liq_ha_per_flight">'Параметры'!$C$51</definedName>
    <definedName name="liq_flight_min">'Параметры'!$C$52</definedName>
    <definedName name="liq_refill_min">'Параметры'!$C$53</definedName>
    <definedName name="liq_cycle_equiv_min">'Параметры'!$C$54</definedName>
    <definedName name="drones_in_winter">'Параметры'!$C$56</definedName>
    <definedName name="spreaders_owned">'Параметры'!$C$57</definedName>
    <definedName name="season_one_time_other">'Параметры'!$C$58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3" fontId="0" fillId="3" borderId="0" pivotButton="0" quotePrefix="0" xfId="0"/>
    <xf numFmtId="2" fontId="0" fillId="3" borderId="0" pivotButton="0" quotePrefix="0" xfId="0"/>
    <xf numFmtId="0" fontId="1" fillId="2" borderId="0" applyAlignment="1" pivotButton="0" quotePrefix="0" xfId="0">
      <alignment vertical="top" wrapText="1"/>
    </xf>
    <xf numFmtId="2" fontId="0" fillId="0" borderId="0" pivotButton="0" quotePrefix="0" xfId="0"/>
    <xf numFmtId="3" fontId="0" fillId="0" borderId="0" pivotButton="0" quotePrefix="0" xfId="0"/>
    <xf numFmtId="2" fontId="0" fillId="4" borderId="0" pivotButton="0" quotePrefix="0" xfId="0"/>
    <xf numFmtId="3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4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4" customWidth="1" min="3" max="3"/>
    <col width="12" customWidth="1" min="4" max="4"/>
    <col width="10" customWidth="1" min="5" max="5"/>
    <col width="80" customWidth="1" min="6" max="6"/>
  </cols>
  <sheetData>
    <row r="1">
      <c r="A1" s="1" t="inlineStr">
        <is>
          <t>Код</t>
        </is>
      </c>
      <c r="B1" s="1" t="inlineStr">
        <is>
          <t>Параметр</t>
        </is>
      </c>
      <c r="C1" s="1" t="inlineStr">
        <is>
          <t>Значение</t>
        </is>
      </c>
      <c r="D1" s="1" t="inlineStr">
        <is>
          <t>Единица</t>
        </is>
      </c>
      <c r="E1" s="1" t="inlineStr">
        <is>
          <t>Тип</t>
        </is>
      </c>
      <c r="F1" s="1" t="inlineStr">
        <is>
          <t>Источник / комментарий</t>
        </is>
      </c>
    </row>
    <row r="2">
      <c r="A2" s="2" t="n"/>
      <c r="B2" s="3" t="inlineStr">
        <is>
          <t>ТЕХНИКА И ФИЗИКА ПОЛЁТА</t>
        </is>
      </c>
      <c r="C2" s="2" t="n"/>
      <c r="D2" s="2" t="n"/>
      <c r="E2" s="2" t="n"/>
      <c r="F2" s="2" t="n"/>
    </row>
    <row r="3">
      <c r="A3" t="inlineStr">
        <is>
          <t>payload_kg</t>
        </is>
      </c>
      <c r="B3" t="inlineStr">
        <is>
          <t>Полезная нагрузка за вылет</t>
        </is>
      </c>
      <c r="C3" s="4" t="n">
        <v>45</v>
      </c>
      <c r="D3" t="inlineStr">
        <is>
          <t>кг</t>
        </is>
      </c>
      <c r="E3" t="inlineStr">
        <is>
          <t>ОЦЕНКА</t>
        </is>
      </c>
      <c r="F3" s="5" t="inlineStr">
        <is>
          <t>Владелец: 40-50 кг. Паспорт DJI: бак 70 л, до 50 кг.</t>
        </is>
      </c>
    </row>
    <row r="4">
      <c r="A4" t="inlineStr">
        <is>
          <t>swath_eff_m</t>
        </is>
      </c>
      <c r="B4" t="inlineStr">
        <is>
          <t>Ширина захвата (шаг проходов)</t>
        </is>
      </c>
      <c r="C4" s="4" t="n">
        <v>7</v>
      </c>
      <c r="D4" t="inlineStr">
        <is>
          <t>м</t>
        </is>
      </c>
      <c r="E4" t="inlineStr">
        <is>
          <t>ФАКТ</t>
        </is>
      </c>
      <c r="F4" s="5" t="inlineStr">
        <is>
          <t>Нормативная таблица владельца (30.10.2026): ширина разбрасывания 7 м, высота 3 м.</t>
        </is>
      </c>
    </row>
    <row r="5">
      <c r="A5" t="inlineStr">
        <is>
          <t>speed_ms</t>
        </is>
      </c>
      <c r="B5" t="inlineStr">
        <is>
          <t>Предельная скорость над полем</t>
        </is>
      </c>
      <c r="C5" s="4" t="n">
        <v>6</v>
      </c>
      <c r="D5" t="inlineStr">
        <is>
          <t>м/с</t>
        </is>
      </c>
      <c r="E5" t="inlineStr">
        <is>
          <t>ОЦЕНКА</t>
        </is>
      </c>
      <c r="F5" s="5" t="inlineStr">
        <is>
          <t>Фактическая скорость задаётся подачей гранул (см. flow_kg_min); норматив опрыскивания 22-36 км/ч. Для гранул 6 м/с = 21,6 км/ч -- потолок.</t>
        </is>
      </c>
    </row>
    <row r="6">
      <c r="A6" t="inlineStr">
        <is>
          <t>overhead_min</t>
        </is>
      </c>
      <c r="B6" t="inlineStr">
        <is>
          <t>Накладное время вылета (взлёт, подлёт, посадка)</t>
        </is>
      </c>
      <c r="C6" s="4" t="n">
        <v>1.5</v>
      </c>
      <c r="D6" t="inlineStr">
        <is>
          <t>мин</t>
        </is>
      </c>
      <c r="E6" t="inlineStr">
        <is>
          <t>ДОГАДКА</t>
        </is>
      </c>
      <c r="F6" s="5" t="inlineStr">
        <is>
          <t>Станция у кромки поля, подлёт до 300 м. Проверить пилотом.</t>
        </is>
      </c>
    </row>
    <row r="7">
      <c r="A7" t="inlineStr">
        <is>
          <t>reload_min</t>
        </is>
      </c>
      <c r="B7" t="inlineStr">
        <is>
          <t>Загрузка бака и смена батареи</t>
        </is>
      </c>
      <c r="C7" s="4" t="n">
        <v>1.5</v>
      </c>
      <c r="D7" t="inlineStr">
        <is>
          <t>мин</t>
        </is>
      </c>
      <c r="E7" t="inlineStr">
        <is>
          <t>ДОГАДКА</t>
        </is>
      </c>
      <c r="F7" s="5" t="inlineStr">
        <is>
          <t>Два помощника, мешок 50 кг, засыпка по весовому датчику. Главный рычаг.</t>
        </is>
      </c>
    </row>
    <row r="8">
      <c r="A8" t="inlineStr">
        <is>
          <t>eff_hours_per_day</t>
        </is>
      </c>
      <c r="B8" t="inlineStr">
        <is>
          <t>Эффективное лётное время за день</t>
        </is>
      </c>
      <c r="C8" s="4" t="n">
        <v>3</v>
      </c>
      <c r="D8" t="inlineStr">
        <is>
          <t>ч</t>
        </is>
      </c>
      <c r="E8" t="inlineStr">
        <is>
          <t>ОЦЕНКА</t>
        </is>
      </c>
      <c r="F8" s="5" t="inlineStr">
        <is>
          <t>Сентябрь: ~7 000 га / 15 бортов / ~25 дней при 1,0-1,25 га за вылет -&gt; ~3 ч чистого налёта в день.</t>
        </is>
      </c>
    </row>
    <row r="9">
      <c r="A9" t="inlineStr">
        <is>
          <t>days_per_season</t>
        </is>
      </c>
      <c r="B9" t="inlineStr">
        <is>
          <t>Рабочих дней за зимний сезон на борт</t>
        </is>
      </c>
      <c r="C9" s="4" t="n">
        <v>30</v>
      </c>
      <c r="D9" t="inlineStr">
        <is>
          <t>дн</t>
        </is>
      </c>
      <c r="E9" t="inlineStr">
        <is>
          <t>ДОГАДКА</t>
        </is>
      </c>
      <c r="F9" s="5" t="inlineStr">
        <is>
          <t>Окно подкормки ~1.02-20.03 (48 дней) минус выходные и погода.</t>
        </is>
      </c>
    </row>
    <row r="10">
      <c r="A10" t="inlineStr">
        <is>
          <t>flow_kg_min</t>
        </is>
      </c>
      <c r="B10" t="inlineStr">
        <is>
          <t>Рабочая подача гранул разбрасывателем</t>
        </is>
      </c>
      <c r="C10" s="4" t="n">
        <v>30</v>
      </c>
      <c r="D10" t="inlineStr">
        <is>
          <t>кг/мин</t>
        </is>
      </c>
      <c r="E10" t="inlineStr">
        <is>
          <t>ОЦЕНКА</t>
        </is>
      </c>
      <c r="F10" s="5" t="inlineStr">
        <is>
          <t>Из нормативной таблицы: карбамид/аммофос 200 кг/га при 11 км/ч и 7 м = 26 кг/мин; селитра 400 кг/га при 8 км/ч = 37 кг/мин. Тест DJI 149 кг/га при 7 м/с = 44. Ритейлеры пишут до 90 -- для крупных гранул.</t>
        </is>
      </c>
    </row>
    <row r="11">
      <c r="A11" t="inlineStr">
        <is>
          <t>cycle_equiv_min</t>
        </is>
      </c>
      <c r="B11" t="inlineStr">
        <is>
          <t>Минут полёта на один полный цикл батареи</t>
        </is>
      </c>
      <c r="C11" s="4" t="n">
        <v>9</v>
      </c>
      <c r="D11" t="inlineStr">
        <is>
          <t>мин</t>
        </is>
      </c>
      <c r="E11" t="inlineStr">
        <is>
          <t>ОЦЕНКА</t>
        </is>
      </c>
      <c r="F11" s="5" t="inlineStr">
        <is>
          <t>DJI: висение 6 мин при 101 кг (полный бак), 18 мин при 50 кг (пустой); вес падает по ходу вылета.</t>
        </is>
      </c>
    </row>
    <row r="12">
      <c r="A12" t="inlineStr">
        <is>
          <t>max_flight_min</t>
        </is>
      </c>
      <c r="B12" t="inlineStr">
        <is>
          <t>Предельная длительность вылета при лёгкой загрузке</t>
        </is>
      </c>
      <c r="C12" s="4" t="n">
        <v>10</v>
      </c>
      <c r="D12" t="inlineStr">
        <is>
          <t>мин</t>
        </is>
      </c>
      <c r="E12" t="inlineStr">
        <is>
          <t>ОЦЕНКА</t>
        </is>
      </c>
      <c r="F12" s="5" t="inlineStr">
        <is>
          <t>Висение 18 мин без груза; с запасом на возврат ~10-12 мин. Режет вылет при нормах ниже ~25 кг/га (семена).</t>
        </is>
      </c>
    </row>
    <row r="13">
      <c r="A13" s="2" t="n"/>
      <c r="B13" s="3" t="inlineStr">
        <is>
          <t>БАТАРЕИ И ЭНЕРГИЯ</t>
        </is>
      </c>
      <c r="C13" s="2" t="n"/>
      <c r="D13" s="2" t="n"/>
      <c r="E13" s="2" t="n"/>
      <c r="F13" s="2" t="n"/>
    </row>
    <row r="14">
      <c r="A14" t="inlineStr">
        <is>
          <t>battery_price_usd</t>
        </is>
      </c>
      <c r="B14" t="inlineStr">
        <is>
          <t>Цена батареи T40 (DB1560, 30 000 мА·ч)</t>
        </is>
      </c>
      <c r="C14" s="6" t="n">
        <v>1800</v>
      </c>
      <c r="D14" t="inlineStr">
        <is>
          <t>USD</t>
        </is>
      </c>
      <c r="E14" t="inlineStr">
        <is>
          <t>ДОГАДКА</t>
        </is>
      </c>
      <c r="F14" s="5" t="inlineStr">
        <is>
          <t>Розница США 2 499 USD; поставки из Китая дешевле. Уточнить у поставщика.</t>
        </is>
      </c>
    </row>
    <row r="15">
      <c r="A15" t="inlineStr">
        <is>
          <t>battery_cycles</t>
        </is>
      </c>
      <c r="B15" t="inlineStr">
        <is>
          <t>Ресурс батареи</t>
        </is>
      </c>
      <c r="C15" s="6" t="n">
        <v>1200</v>
      </c>
      <c r="D15" t="inlineStr">
        <is>
          <t>циклов</t>
        </is>
      </c>
      <c r="E15" t="inlineStr">
        <is>
          <t>ОЦЕНКА</t>
        </is>
      </c>
      <c r="F15" s="5" t="inlineStr">
        <is>
          <t>Гарантия DJI по данным ритейлеров: 1 000-1 500 циклов.</t>
        </is>
      </c>
    </row>
    <row r="16">
      <c r="A16" t="inlineStr">
        <is>
          <t>battery_kwh</t>
        </is>
      </c>
      <c r="B16" t="inlineStr">
        <is>
          <t>Ёмкость батареи</t>
        </is>
      </c>
      <c r="C16" s="4" t="n">
        <v>1.567</v>
      </c>
      <c r="D16" t="inlineStr">
        <is>
          <t>кВт·ч</t>
        </is>
      </c>
      <c r="E16" t="inlineStr">
        <is>
          <t>ФАКТ</t>
        </is>
      </c>
      <c r="F16" s="5" t="inlineStr">
        <is>
          <t>30 А·ч x 52,22 В.</t>
        </is>
      </c>
    </row>
    <row r="17">
      <c r="A17" t="inlineStr">
        <is>
          <t>gen_l_per_kwh</t>
        </is>
      </c>
      <c r="B17" t="inlineStr">
        <is>
          <t>Расход бензина генератором D12000iE</t>
        </is>
      </c>
      <c r="C17" s="7" t="n">
        <v>0.5</v>
      </c>
      <c r="D17" t="inlineStr">
        <is>
          <t>л/кВт·ч</t>
        </is>
      </c>
      <c r="E17" t="inlineStr">
        <is>
          <t>ФАКТ</t>
        </is>
      </c>
      <c r="F17" s="5" t="inlineStr">
        <is>
          <t>Паспорт DJI: 500 мл/кВт·ч.</t>
        </is>
      </c>
    </row>
    <row r="18">
      <c r="A18" t="inlineStr">
        <is>
          <t>charge_eff</t>
        </is>
      </c>
      <c r="B18" t="inlineStr">
        <is>
          <t>КПД зарядки (доля энергии, дошедшей в батарею)</t>
        </is>
      </c>
      <c r="C18" s="7" t="n">
        <v>0.85</v>
      </c>
      <c r="D18" t="inlineStr">
        <is>
          <t>доля</t>
        </is>
      </c>
      <c r="E18" t="inlineStr">
        <is>
          <t>ДОГАДКА</t>
        </is>
      </c>
      <c r="F18" s="5" t="inlineStr"/>
    </row>
    <row r="19">
      <c r="A19" t="inlineStr">
        <is>
          <t>petrol_price</t>
        </is>
      </c>
      <c r="B19" t="inlineStr">
        <is>
          <t>Цена бензина АИ-92</t>
        </is>
      </c>
      <c r="C19" s="6" t="n">
        <v>13000</v>
      </c>
      <c r="D19" t="inlineStr">
        <is>
          <t>сум/л</t>
        </is>
      </c>
      <c r="E19" t="inlineStr">
        <is>
          <t>ФАКТ</t>
        </is>
      </c>
      <c r="F19" s="5" t="inlineStr">
        <is>
          <t>Ташкент, 22.09.2026: 12 600 (местный) / 13 900 (импортный).</t>
        </is>
      </c>
    </row>
    <row r="20">
      <c r="A20" s="2" t="n"/>
      <c r="B20" s="3" t="inlineStr">
        <is>
          <t>ЛЮДИ И ТРАНСПОРТ (НА РАБОЧИЙ ДЕНЬ)</t>
        </is>
      </c>
      <c r="C20" s="2" t="n"/>
      <c r="D20" s="2" t="n"/>
      <c r="E20" s="2" t="n"/>
      <c r="F20" s="2" t="n"/>
    </row>
    <row r="21">
      <c r="A21" t="inlineStr">
        <is>
          <t>pilot_day</t>
        </is>
      </c>
      <c r="B21" t="inlineStr">
        <is>
          <t>Оплата пилота за рабочий день</t>
        </is>
      </c>
      <c r="C21" s="6" t="n">
        <v>400000</v>
      </c>
      <c r="D21" t="inlineStr">
        <is>
          <t>сум</t>
        </is>
      </c>
      <c r="E21" t="inlineStr">
        <is>
          <t>ДОГАДКА</t>
        </is>
      </c>
      <c r="F21" s="5" t="inlineStr">
        <is>
          <t>Paylab: операторы сельхозтехники 3,6-7,4 млн/мес; пилот дрона выше. Уточнить по своим ведомостям.</t>
        </is>
      </c>
    </row>
    <row r="22">
      <c r="A22" t="inlineStr">
        <is>
          <t>helpers_count</t>
        </is>
      </c>
      <c r="B22" t="inlineStr">
        <is>
          <t>Помощников на загрузке</t>
        </is>
      </c>
      <c r="C22" s="4" t="n">
        <v>2</v>
      </c>
      <c r="D22" t="inlineStr">
        <is>
          <t>чел</t>
        </is>
      </c>
      <c r="E22" t="inlineStr">
        <is>
          <t>ДОГАДКА</t>
        </is>
      </c>
      <c r="F22" s="5" t="inlineStr">
        <is>
          <t>Один человек 60 мешков по 45 кг за день не поднимет.</t>
        </is>
      </c>
    </row>
    <row r="23">
      <c r="A23" t="inlineStr">
        <is>
          <t>helper_day</t>
        </is>
      </c>
      <c r="B23" t="inlineStr">
        <is>
          <t>Оплата помощника за день</t>
        </is>
      </c>
      <c r="C23" s="6" t="n">
        <v>180000</v>
      </c>
      <c r="D23" t="inlineStr">
        <is>
          <t>сум</t>
        </is>
      </c>
      <c r="E23" t="inlineStr">
        <is>
          <t>ДОГАДКА</t>
        </is>
      </c>
      <c r="F23" s="5" t="inlineStr"/>
    </row>
    <row r="24">
      <c r="A24" t="inlineStr">
        <is>
          <t>vehicle_km</t>
        </is>
      </c>
      <c r="B24" t="inlineStr">
        <is>
          <t>Пробег машины сопровождения за день</t>
        </is>
      </c>
      <c r="C24" s="4" t="n">
        <v>100</v>
      </c>
      <c r="D24" t="inlineStr">
        <is>
          <t>км</t>
        </is>
      </c>
      <c r="E24" t="inlineStr">
        <is>
          <t>ДОГАДКА</t>
        </is>
      </c>
      <c r="F24" s="5" t="inlineStr"/>
    </row>
    <row r="25">
      <c r="A25" t="inlineStr">
        <is>
          <t>diesel_l_100km</t>
        </is>
      </c>
      <c r="B25" t="inlineStr">
        <is>
          <t>Расход дизеля машины сопровождения</t>
        </is>
      </c>
      <c r="C25" s="4" t="n">
        <v>12</v>
      </c>
      <c r="D25" t="inlineStr">
        <is>
          <t>л/100 км</t>
        </is>
      </c>
      <c r="E25" t="inlineStr">
        <is>
          <t>ДОГАДКА</t>
        </is>
      </c>
      <c r="F25" s="5" t="inlineStr"/>
    </row>
    <row r="26">
      <c r="A26" t="inlineStr">
        <is>
          <t>diesel_price</t>
        </is>
      </c>
      <c r="B26" t="inlineStr">
        <is>
          <t>Цена дизельного топлива</t>
        </is>
      </c>
      <c r="C26" s="6" t="n">
        <v>15000</v>
      </c>
      <c r="D26" t="inlineStr">
        <is>
          <t>сум/л</t>
        </is>
      </c>
      <c r="E26" t="inlineStr">
        <is>
          <t>ОЦЕНКА</t>
        </is>
      </c>
      <c r="F26" s="5" t="inlineStr">
        <is>
          <t>АЗС Ташкента 14 700-15 900; биржа апрель 2026: 15,86 млн сум/т.</t>
        </is>
      </c>
    </row>
    <row r="27">
      <c r="A27" t="inlineStr">
        <is>
          <t>vehicle_wear_km</t>
        </is>
      </c>
      <c r="B27" t="inlineStr">
        <is>
          <t>Износ машины сопровождения</t>
        </is>
      </c>
      <c r="C27" s="6" t="n">
        <v>1500</v>
      </c>
      <c r="D27" t="inlineStr">
        <is>
          <t>сум/км</t>
        </is>
      </c>
      <c r="E27" t="inlineStr">
        <is>
          <t>ДОГАДКА</t>
        </is>
      </c>
      <c r="F27" s="5" t="inlineStr"/>
    </row>
    <row r="28">
      <c r="A28" t="inlineStr">
        <is>
          <t>per_diem_day</t>
        </is>
      </c>
      <c r="B28" t="inlineStr">
        <is>
          <t>Питание и проживание экипажа</t>
        </is>
      </c>
      <c r="C28" s="6" t="n">
        <v>100000</v>
      </c>
      <c r="D28" t="inlineStr">
        <is>
          <t>сум/день</t>
        </is>
      </c>
      <c r="E28" t="inlineStr">
        <is>
          <t>ДОГАДКА</t>
        </is>
      </c>
      <c r="F28" s="5" t="inlineStr"/>
    </row>
    <row r="29">
      <c r="A29" t="inlineStr">
        <is>
          <t>other_day</t>
        </is>
      </c>
      <c r="B29" t="inlineStr">
        <is>
          <t>Прочее за день (износ генератора, связь, промывка)</t>
        </is>
      </c>
      <c r="C29" s="6" t="n">
        <v>50000</v>
      </c>
      <c r="D29" t="inlineStr">
        <is>
          <t>сум/день</t>
        </is>
      </c>
      <c r="E29" t="inlineStr">
        <is>
          <t>ДОГАДКА</t>
        </is>
      </c>
      <c r="F29" s="5" t="inlineStr"/>
    </row>
    <row r="30">
      <c r="A30" s="2" t="n"/>
      <c r="B30" s="3" t="inlineStr">
        <is>
          <t>ИЗНОС И АМОРТИЗАЦИЯ ТЕХНИКИ</t>
        </is>
      </c>
      <c r="C30" s="2" t="n"/>
      <c r="D30" s="2" t="n"/>
      <c r="E30" s="2" t="n"/>
      <c r="F30" s="2" t="n"/>
    </row>
    <row r="31">
      <c r="A31" t="inlineStr">
        <is>
          <t>drone_wear_usd_h</t>
        </is>
      </c>
      <c r="B31" t="inlineStr">
        <is>
          <t>Ремонтный резерв дрона за лётный час</t>
        </is>
      </c>
      <c r="C31" s="4" t="n">
        <v>5</v>
      </c>
      <c r="D31" t="inlineStr">
        <is>
          <t>USD/ч</t>
        </is>
      </c>
      <c r="E31" t="inlineStr">
        <is>
          <t>ДОГАДКА</t>
        </is>
      </c>
      <c r="F31" s="5" t="inlineStr">
        <is>
          <t>Винты, моторы, мелкий ремонт: ~2 500 USD на 500 лётных часов.</t>
        </is>
      </c>
    </row>
    <row r="32">
      <c r="A32" t="inlineStr">
        <is>
          <t>fert_wear_premium</t>
        </is>
      </c>
      <c r="B32" t="inlineStr">
        <is>
          <t>Надбавка к износу за удобрения (коррозия, пыль)</t>
        </is>
      </c>
      <c r="C32" s="7" t="n">
        <v>0.5</v>
      </c>
      <c r="D32" t="inlineStr">
        <is>
          <t>доля</t>
        </is>
      </c>
      <c r="E32" t="inlineStr">
        <is>
          <t>ДОГАДКА</t>
        </is>
      </c>
      <c r="F32" s="5" t="inlineStr">
        <is>
          <t>Селитра -- самое коррозионно-активное удобрение (РГАУ-МСХА, 2026).</t>
        </is>
      </c>
    </row>
    <row r="33">
      <c r="A33" t="inlineStr">
        <is>
          <t>spreader_price_usd</t>
        </is>
      </c>
      <c r="B33" t="inlineStr">
        <is>
          <t>Цена разбрасывателя T40 Spreading System 3.0</t>
        </is>
      </c>
      <c r="C33" s="6" t="n">
        <v>1300</v>
      </c>
      <c r="D33" t="inlineStr">
        <is>
          <t>USD</t>
        </is>
      </c>
      <c r="E33" t="inlineStr">
        <is>
          <t>ФАКТ</t>
        </is>
      </c>
      <c r="F33" s="5" t="inlineStr">
        <is>
          <t>Розница 1 199-1 499 USD (2025).</t>
        </is>
      </c>
    </row>
    <row r="34">
      <c r="A34" t="inlineStr">
        <is>
          <t>spreader_life_seasons</t>
        </is>
      </c>
      <c r="B34" t="inlineStr">
        <is>
          <t>Срок службы разбрасывателя</t>
        </is>
      </c>
      <c r="C34" s="4" t="n">
        <v>2</v>
      </c>
      <c r="D34" t="inlineStr">
        <is>
          <t>сезонов</t>
        </is>
      </c>
      <c r="E34" t="inlineStr">
        <is>
          <t>ДОГАДКА</t>
        </is>
      </c>
      <c r="F34" s="5" t="inlineStr"/>
    </row>
    <row r="35">
      <c r="A35" t="inlineStr">
        <is>
          <t>drone_price_usd</t>
        </is>
      </c>
      <c r="B35" t="inlineStr">
        <is>
          <t>Цена дрона T40 (без разбрасывателя)</t>
        </is>
      </c>
      <c r="C35" s="6" t="n">
        <v>20000</v>
      </c>
      <c r="D35" t="inlineStr">
        <is>
          <t>USD</t>
        </is>
      </c>
      <c r="E35" t="inlineStr">
        <is>
          <t>ОЦЕНКА</t>
        </is>
      </c>
      <c r="F35" s="5" t="inlineStr">
        <is>
          <t>Б/у 2025 с 3 АКБ: 19 000 USD; новый без АКБ 13 500-16 000 USD.</t>
        </is>
      </c>
    </row>
    <row r="36">
      <c r="A36" t="inlineStr">
        <is>
          <t>drone_life_years</t>
        </is>
      </c>
      <c r="B36" t="inlineStr">
        <is>
          <t>Срок амортизации дрона</t>
        </is>
      </c>
      <c r="C36" s="4" t="n">
        <v>5</v>
      </c>
      <c r="D36" t="inlineStr">
        <is>
          <t>лет</t>
        </is>
      </c>
      <c r="E36" t="inlineStr">
        <is>
          <t>ДОГАДКА</t>
        </is>
      </c>
      <c r="F36" s="5" t="inlineStr"/>
    </row>
    <row r="37">
      <c r="A37" t="inlineStr">
        <is>
          <t>drone_dep_winter_share</t>
        </is>
      </c>
      <c r="B37" t="inlineStr">
        <is>
          <t>Доля годовой амортизации дрона, относимая на зиму</t>
        </is>
      </c>
      <c r="C37" s="7" t="n">
        <v>0</v>
      </c>
      <c r="D37" t="inlineStr">
        <is>
          <t>доля</t>
        </is>
      </c>
      <c r="E37" t="inlineStr">
        <is>
          <t>РЕШЕНИЕ</t>
        </is>
      </c>
      <c r="F37" s="5" t="inlineStr">
        <is>
          <t>0 = парк уже окупается летом (маржинальный взгляд). 0,2-0,3 = полная себестоимость.</t>
        </is>
      </c>
    </row>
    <row r="38">
      <c r="A38" s="2" t="n"/>
      <c r="B38" s="3" t="inlineStr">
        <is>
          <t>НАКЛАДНЫЕ, МАРЖА, КУРС</t>
        </is>
      </c>
      <c r="C38" s="2" t="n"/>
      <c r="D38" s="2" t="n"/>
      <c r="E38" s="2" t="n"/>
      <c r="F38" s="2" t="n"/>
    </row>
    <row r="39">
      <c r="A39" t="inlineStr">
        <is>
          <t>overhead_pct</t>
        </is>
      </c>
      <c r="B39" t="inlineStr">
        <is>
          <t>Накладные расходы (диспетчер, учёт, страховка)</t>
        </is>
      </c>
      <c r="C39" s="7" t="n">
        <v>0.1</v>
      </c>
      <c r="D39" t="inlineStr">
        <is>
          <t>доля выручки</t>
        </is>
      </c>
      <c r="E39" t="inlineStr">
        <is>
          <t>ДОГАДКА</t>
        </is>
      </c>
      <c r="F39" s="5" t="inlineStr"/>
    </row>
    <row r="40">
      <c r="A40" t="inlineStr">
        <is>
          <t>target_margin_pct</t>
        </is>
      </c>
      <c r="B40" t="inlineStr">
        <is>
          <t>Целевая маржа</t>
        </is>
      </c>
      <c r="C40" s="7" t="n">
        <v>0.25</v>
      </c>
      <c r="D40" t="inlineStr">
        <is>
          <t>доля выручки</t>
        </is>
      </c>
      <c r="E40" t="inlineStr">
        <is>
          <t>РЕШЕНИЕ</t>
        </is>
      </c>
      <c r="F40" s="5" t="inlineStr">
        <is>
          <t>Задаёт владелец.</t>
        </is>
      </c>
    </row>
    <row r="41">
      <c r="A41" t="inlineStr">
        <is>
          <t>usd_rate</t>
        </is>
      </c>
      <c r="B41" t="inlineStr">
        <is>
          <t>Курс USD/UZS</t>
        </is>
      </c>
      <c r="C41" s="6" t="n">
        <v>12000</v>
      </c>
      <c r="D41" t="inlineStr">
        <is>
          <t>сум</t>
        </is>
      </c>
      <c r="E41" t="inlineStr">
        <is>
          <t>ФАКТ</t>
        </is>
      </c>
      <c r="F41" s="5" t="inlineStr">
        <is>
          <t>ЦБ РУз 29.10.2026: 11 965-12 004.</t>
        </is>
      </c>
    </row>
    <row r="42">
      <c r="A42" s="2" t="n"/>
      <c r="B42" s="3" t="inlineStr">
        <is>
          <t>РЫНОК И СТОРОНА ФЕРМЕРА</t>
        </is>
      </c>
      <c r="C42" s="2" t="n"/>
      <c r="D42" s="2" t="n"/>
      <c r="E42" s="2" t="n"/>
      <c r="F42" s="2" t="n"/>
    </row>
    <row r="43">
      <c r="A43" t="inlineStr">
        <is>
          <t>liquid_tariff_external</t>
        </is>
      </c>
      <c r="B43" t="inlineStr">
        <is>
          <t>Текущий тариф опрыскивания, внешние заказчики</t>
        </is>
      </c>
      <c r="C43" s="6" t="n">
        <v>200000</v>
      </c>
      <c r="D43" t="inlineStr">
        <is>
          <t>сум/га</t>
        </is>
      </c>
      <c r="E43" t="inlineStr">
        <is>
          <t>ФАКТ</t>
        </is>
      </c>
      <c r="F43" s="5" t="inlineStr">
        <is>
          <t>Владелец.</t>
        </is>
      </c>
    </row>
    <row r="44">
      <c r="A44" t="inlineStr">
        <is>
          <t>liquid_tariff_internal</t>
        </is>
      </c>
      <c r="B44" t="inlineStr">
        <is>
          <t>Ставка внутреннего контура (земли Агрокластера)</t>
        </is>
      </c>
      <c r="C44" s="6" t="n">
        <v>80000</v>
      </c>
      <c r="D44" t="inlineStr">
        <is>
          <t>сум/га</t>
        </is>
      </c>
      <c r="E44" t="inlineStr">
        <is>
          <t>ФАКТ</t>
        </is>
      </c>
      <c r="F44" s="5" t="inlineStr">
        <is>
          <t>Книги сентября 2025: 75 040 / 76 458 / 85 633 / 86 000.</t>
        </is>
      </c>
    </row>
    <row r="45">
      <c r="A45" t="inlineStr">
        <is>
          <t>nitrate_price_t</t>
        </is>
      </c>
      <c r="B45" t="inlineStr">
        <is>
          <t>Аммиачная селитра (34,4% N)</t>
        </is>
      </c>
      <c r="C45" s="6" t="n">
        <v>3770000</v>
      </c>
      <c r="D45" t="inlineStr">
        <is>
          <t>сум/т</t>
        </is>
      </c>
      <c r="E45" t="inlineStr">
        <is>
          <t>ФАКТ</t>
        </is>
      </c>
      <c r="F45" s="5" t="inlineStr">
        <is>
          <t>UZEX, август 2026: 3 766,5 тыс. сум/т.</t>
        </is>
      </c>
    </row>
    <row r="46">
      <c r="A46" t="inlineStr">
        <is>
          <t>urea_price_t</t>
        </is>
      </c>
      <c r="B46" t="inlineStr">
        <is>
          <t>Карбамид (46% N)</t>
        </is>
      </c>
      <c r="C46" s="6" t="n">
        <v>3000000</v>
      </c>
      <c r="D46" t="inlineStr">
        <is>
          <t>сум/т</t>
        </is>
      </c>
      <c r="E46" t="inlineStr">
        <is>
          <t>ДОГАДКА</t>
        </is>
      </c>
      <c r="F46" s="5" t="inlineStr">
        <is>
          <t>Свежей биржевой цены 2026 не найдено; мировая ~700 USD/т (апр. 2026).</t>
        </is>
      </c>
    </row>
    <row r="47">
      <c r="A47" t="inlineStr">
        <is>
          <t>wheat_price_t</t>
        </is>
      </c>
      <c r="B47" t="inlineStr">
        <is>
          <t>Цена пшеницы для фермера</t>
        </is>
      </c>
      <c r="C47" s="6" t="n">
        <v>3500000</v>
      </c>
      <c r="D47" t="inlineStr">
        <is>
          <t>сум/т</t>
        </is>
      </c>
      <c r="E47" t="inlineStr">
        <is>
          <t>ДОГАДКА</t>
        </is>
      </c>
      <c r="F47" s="5" t="inlineStr">
        <is>
          <t>С 2022 закупка по рыночным ценам; цифру 2026 не нашли.</t>
        </is>
      </c>
    </row>
    <row r="48">
      <c r="A48" t="inlineStr">
        <is>
          <t>wheat_yield_t_ha</t>
        </is>
      </c>
      <c r="B48" t="inlineStr">
        <is>
          <t>Урожайность пшеницы фермера</t>
        </is>
      </c>
      <c r="C48" s="4" t="n">
        <v>6.5</v>
      </c>
      <c r="D48" t="inlineStr">
        <is>
          <t>т/га</t>
        </is>
      </c>
      <c r="E48" t="inlineStr">
        <is>
          <t>ДОГАДКА</t>
        </is>
      </c>
      <c r="F48" s="5" t="inlineStr"/>
    </row>
    <row r="49">
      <c r="A49" t="inlineStr">
        <is>
          <t>ground_spread_cost_ha</t>
        </is>
      </c>
      <c r="B49" t="inlineStr">
        <is>
          <t>Альтернатива фермера: трактор/вручную</t>
        </is>
      </c>
      <c r="C49" s="6" t="n">
        <v>100000</v>
      </c>
      <c r="D49" t="inlineStr">
        <is>
          <t>сум/га</t>
        </is>
      </c>
      <c r="E49" t="inlineStr">
        <is>
          <t>ДОГАДКА</t>
        </is>
      </c>
      <c r="F49" s="5" t="inlineStr">
        <is>
          <t>Ориентир РФ (Татарстан): ~300 руб/га ~ 45 тыс. сум. Местные МТП -- уточнить.</t>
        </is>
      </c>
    </row>
    <row r="50">
      <c r="A50" s="2" t="n"/>
      <c r="B50" s="3" t="inlineStr">
        <is>
          <t>КАЛИБРОВКА ПО ЖИДКОЙ ОБРАБОТКЕ</t>
        </is>
      </c>
      <c r="C50" s="2" t="n"/>
      <c r="D50" s="2" t="n"/>
      <c r="E50" s="2" t="n"/>
      <c r="F50" s="2" t="n"/>
    </row>
    <row r="51">
      <c r="A51" t="inlineStr">
        <is>
          <t>liq_ha_per_flight</t>
        </is>
      </c>
      <c r="B51" t="inlineStr">
        <is>
          <t>Гектаров за вылет при опрыскивании</t>
        </is>
      </c>
      <c r="C51" s="4" t="n">
        <v>1.2</v>
      </c>
      <c r="D51" t="inlineStr">
        <is>
          <t>га</t>
        </is>
      </c>
      <c r="E51" t="inlineStr">
        <is>
          <t>ФАКТ</t>
        </is>
      </c>
      <c r="F51" s="5" t="inlineStr">
        <is>
          <t>Данные вылетов: 1,0-1,25 га за вылет, 27-41 л/га.</t>
        </is>
      </c>
    </row>
    <row r="52">
      <c r="A52" t="inlineStr">
        <is>
          <t>liq_flight_min</t>
        </is>
      </c>
      <c r="B52" t="inlineStr">
        <is>
          <t>Длительность вылета при опрыскивании</t>
        </is>
      </c>
      <c r="C52" s="4" t="n">
        <v>6.5</v>
      </c>
      <c r="D52" t="inlineStr">
        <is>
          <t>мин</t>
        </is>
      </c>
      <c r="E52" t="inlineStr">
        <is>
          <t>ОЦЕНКА</t>
        </is>
      </c>
      <c r="F52" s="5" t="inlineStr"/>
    </row>
    <row r="53">
      <c r="A53" t="inlineStr">
        <is>
          <t>liq_refill_min</t>
        </is>
      </c>
      <c r="B53" t="inlineStr">
        <is>
          <t>Заправка раствора и смена батареи</t>
        </is>
      </c>
      <c r="C53" s="4" t="n">
        <v>2.5</v>
      </c>
      <c r="D53" t="inlineStr">
        <is>
          <t>мин</t>
        </is>
      </c>
      <c r="E53" t="inlineStr">
        <is>
          <t>ДОГАДКА</t>
        </is>
      </c>
      <c r="F53" s="5" t="inlineStr"/>
    </row>
    <row r="54">
      <c r="A54" t="inlineStr">
        <is>
          <t>liq_cycle_equiv_min</t>
        </is>
      </c>
      <c r="B54" t="inlineStr">
        <is>
          <t>Минут полёта на цикл батареи (опрыскивание)</t>
        </is>
      </c>
      <c r="C54" s="4" t="n">
        <v>10</v>
      </c>
      <c r="D54" t="inlineStr">
        <is>
          <t>мин</t>
        </is>
      </c>
      <c r="E54" t="inlineStr">
        <is>
          <t>ОЦЕНКА</t>
        </is>
      </c>
      <c r="F54" s="5" t="inlineStr">
        <is>
          <t>DJI: 7 мин висения при 90 кг.</t>
        </is>
      </c>
    </row>
    <row r="55">
      <c r="A55" s="2" t="n"/>
      <c r="B55" s="3" t="inlineStr">
        <is>
          <t>СЕЗОН</t>
        </is>
      </c>
      <c r="C55" s="2" t="n"/>
      <c r="D55" s="2" t="n"/>
      <c r="E55" s="2" t="n"/>
      <c r="F55" s="2" t="n"/>
    </row>
    <row r="56">
      <c r="A56" t="inlineStr">
        <is>
          <t>drones_in_winter</t>
        </is>
      </c>
      <c r="B56" t="inlineStr">
        <is>
          <t>Бортов в зимней работе</t>
        </is>
      </c>
      <c r="C56" s="4" t="n">
        <v>5</v>
      </c>
      <c r="D56" t="inlineStr">
        <is>
          <t>шт</t>
        </is>
      </c>
      <c r="E56" t="inlineStr">
        <is>
          <t>РЕШЕНИЕ</t>
        </is>
      </c>
      <c r="F56" s="5" t="inlineStr">
        <is>
          <t>Из 15 в парке.</t>
        </is>
      </c>
    </row>
    <row r="57">
      <c r="A57" t="inlineStr">
        <is>
          <t>spreaders_owned</t>
        </is>
      </c>
      <c r="B57" t="inlineStr">
        <is>
          <t>Разбрасывателей уже есть</t>
        </is>
      </c>
      <c r="C57" s="4" t="n">
        <v>1</v>
      </c>
      <c r="D57" t="inlineStr">
        <is>
          <t>шт</t>
        </is>
      </c>
      <c r="E57" t="inlineStr">
        <is>
          <t>ФАКТ</t>
        </is>
      </c>
      <c r="F57" s="5" t="inlineStr">
        <is>
          <t>Один тестовый бак.</t>
        </is>
      </c>
    </row>
    <row r="58">
      <c r="A58" t="inlineStr">
        <is>
          <t>season_one_time_other</t>
        </is>
      </c>
      <c r="B58" t="inlineStr">
        <is>
          <t>Разовые расходы сезона (обучение, демо, оснастка загрузки)</t>
        </is>
      </c>
      <c r="C58" s="6" t="n">
        <v>20000000</v>
      </c>
      <c r="D58" t="inlineStr">
        <is>
          <t>сум</t>
        </is>
      </c>
      <c r="E58" t="inlineStr">
        <is>
          <t>ДОГАДКА</t>
        </is>
      </c>
      <c r="F58" s="5" t="inlineStr"/>
    </row>
    <row r="60">
      <c r="B60" s="5" t="inlineStr">
        <is>
          <t>Жёлтые ячейки -- входы. Всё остальное в книге считается из них. Тип: ФАКТ -- с источником; ОЦЕНКА -- вывод из фактов; ДОГАДКА -- не проверено; РЕШЕНИЕ -- задаёт владелец.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48" customHeight="1">
      <c r="A1" s="3" t="inlineStr">
        <is>
          <t>Сценарий</t>
        </is>
      </c>
      <c r="B1" s="2" t="inlineStr"/>
      <c r="C1" s="8" t="inlineStr">
        <is>
          <t>База 100 кг/га</t>
        </is>
      </c>
      <c r="D1" s="8" t="inlineStr">
        <is>
          <t>База 150 кг/га (карбамид)</t>
        </is>
      </c>
      <c r="E1" s="8" t="inlineStr">
        <is>
          <t>База 200 кг/га</t>
        </is>
      </c>
      <c r="F1" s="8" t="inlineStr">
        <is>
          <t>База 250 кг/га (селитра)</t>
        </is>
      </c>
      <c r="G1" s="8" t="inlineStr">
        <is>
          <t>Пессимистичный 250</t>
        </is>
      </c>
      <c r="H1" s="8" t="inlineStr">
        <is>
          <t>Оптимистичный 250</t>
        </is>
      </c>
      <c r="I1" s="8" t="inlineStr">
        <is>
          <t>Маржинальный 250 (пилот на окладе)</t>
        </is>
      </c>
      <c r="J1" s="8" t="inlineStr">
        <is>
          <t>Пессимистичный 150</t>
        </is>
      </c>
      <c r="K1" s="8" t="inlineStr">
        <is>
          <t>Оптимистичный 150</t>
        </is>
      </c>
      <c r="L1" s="8" t="inlineStr">
        <is>
          <t>Норматив: селитра 400 кг/га</t>
        </is>
      </c>
      <c r="M1" s="8" t="inlineStr">
        <is>
          <t>Аэросев саксаула 4 кг/га (бак ~12 кг по объёму)</t>
        </is>
      </c>
      <c r="N1" s="8" t="inlineStr">
        <is>
          <t>Сев люцерны 15 кг/га</t>
        </is>
      </c>
      <c r="O1" s="8" t="inlineStr">
        <is>
          <t>Подсев озимых 60 кг/га</t>
        </is>
      </c>
      <c r="P1" s="8" t="inlineStr">
        <is>
          <t>Чувств. 250: эффективные часы x0.80</t>
        </is>
      </c>
      <c r="Q1" s="8" t="inlineStr">
        <is>
          <t>Чувств. 250: эффективные часы x1.20</t>
        </is>
      </c>
      <c r="R1" s="8" t="inlineStr">
        <is>
          <t>Чувств. 250: время загрузки x0.80</t>
        </is>
      </c>
      <c r="S1" s="8" t="inlineStr">
        <is>
          <t>Чувств. 250: время загрузки x1.20</t>
        </is>
      </c>
      <c r="T1" s="8" t="inlineStr">
        <is>
          <t>Чувств. 250: накладное время вылета x0.80</t>
        </is>
      </c>
      <c r="U1" s="8" t="inlineStr">
        <is>
          <t>Чувств. 250: накладное время вылета x1.20</t>
        </is>
      </c>
      <c r="V1" s="8" t="inlineStr">
        <is>
          <t>Чувств. 250: полезная нагрузка x0.90</t>
        </is>
      </c>
      <c r="W1" s="8" t="inlineStr">
        <is>
          <t>Чувств. 250: полезная нагрузка x1.10</t>
        </is>
      </c>
      <c r="X1" s="8" t="inlineStr">
        <is>
          <t>Чувств. 250: подача гранул x0.80</t>
        </is>
      </c>
      <c r="Y1" s="8" t="inlineStr">
        <is>
          <t>Чувств. 250: подача гранул x1.20</t>
        </is>
      </c>
      <c r="Z1" s="8" t="inlineStr">
        <is>
          <t>Чувств. 250: цена батареи x0.80</t>
        </is>
      </c>
      <c r="AA1" s="8" t="inlineStr">
        <is>
          <t>Чувств. 250: цена батареи x1.20</t>
        </is>
      </c>
      <c r="AB1" s="8" t="inlineStr">
        <is>
          <t>Чувств. 250: оплата пилота x0.80</t>
        </is>
      </c>
      <c r="AC1" s="8" t="inlineStr">
        <is>
          <t>Чувств. 250: оплата пилота x1.20</t>
        </is>
      </c>
      <c r="AD1" s="8" t="inlineStr">
        <is>
          <t>Чувств. 250: цена бензина x0.80</t>
        </is>
      </c>
      <c r="AE1" s="8" t="inlineStr">
        <is>
          <t>Чувств. 250: цена бензина x1.20</t>
        </is>
      </c>
      <c r="AF1" s="8" t="inlineStr">
        <is>
          <t>Чувств. 250: ресурс батареи x0.80</t>
        </is>
      </c>
      <c r="AG1" s="8" t="inlineStr">
        <is>
          <t>Чувств. 250: ресурс батареи x1.20</t>
        </is>
      </c>
      <c r="AH1" s="8" t="inlineStr">
        <is>
          <t>Чувств. 250: рабочих дней в сезоне x0.80</t>
        </is>
      </c>
      <c r="AI1" s="8" t="inlineStr">
        <is>
          <t>Чувств. 250: рабочих дней в сезоне x1.20</t>
        </is>
      </c>
    </row>
    <row r="2">
      <c r="A2" t="inlineStr">
        <is>
          <t>Норма внесения</t>
        </is>
      </c>
      <c r="B2" t="inlineStr">
        <is>
          <t>кг/га</t>
        </is>
      </c>
      <c r="C2" s="4" t="n">
        <v>100</v>
      </c>
      <c r="D2" s="4" t="n">
        <v>150</v>
      </c>
      <c r="E2" s="4" t="n">
        <v>200</v>
      </c>
      <c r="F2" s="4" t="n">
        <v>250</v>
      </c>
      <c r="G2" s="4" t="n">
        <v>250</v>
      </c>
      <c r="H2" s="4" t="n">
        <v>250</v>
      </c>
      <c r="I2" s="4" t="n">
        <v>250</v>
      </c>
      <c r="J2" s="4" t="n">
        <v>150</v>
      </c>
      <c r="K2" s="4" t="n">
        <v>150</v>
      </c>
      <c r="L2" s="4" t="n">
        <v>400</v>
      </c>
      <c r="M2" s="4" t="n">
        <v>4</v>
      </c>
      <c r="N2" s="4" t="n">
        <v>15</v>
      </c>
      <c r="O2" s="4" t="n">
        <v>60</v>
      </c>
      <c r="P2" s="4" t="n">
        <v>250</v>
      </c>
      <c r="Q2" s="4" t="n">
        <v>250</v>
      </c>
      <c r="R2" s="4" t="n">
        <v>250</v>
      </c>
      <c r="S2" s="4" t="n">
        <v>250</v>
      </c>
      <c r="T2" s="4" t="n">
        <v>250</v>
      </c>
      <c r="U2" s="4" t="n">
        <v>250</v>
      </c>
      <c r="V2" s="4" t="n">
        <v>250</v>
      </c>
      <c r="W2" s="4" t="n">
        <v>250</v>
      </c>
      <c r="X2" s="4" t="n">
        <v>250</v>
      </c>
      <c r="Y2" s="4" t="n">
        <v>250</v>
      </c>
      <c r="Z2" s="4" t="n">
        <v>250</v>
      </c>
      <c r="AA2" s="4" t="n">
        <v>250</v>
      </c>
      <c r="AB2" s="4" t="n">
        <v>250</v>
      </c>
      <c r="AC2" s="4" t="n">
        <v>250</v>
      </c>
      <c r="AD2" s="4" t="n">
        <v>250</v>
      </c>
      <c r="AE2" s="4" t="n">
        <v>250</v>
      </c>
      <c r="AF2" s="4" t="n">
        <v>250</v>
      </c>
      <c r="AG2" s="4" t="n">
        <v>250</v>
      </c>
      <c r="AH2" s="4" t="n">
        <v>250</v>
      </c>
      <c r="AI2" s="4" t="n">
        <v>250</v>
      </c>
    </row>
    <row r="3">
      <c r="A3" t="inlineStr">
        <is>
          <t>Множитель: эффективные часы</t>
        </is>
      </c>
      <c r="B3" t="inlineStr">
        <is>
          <t>x</t>
        </is>
      </c>
      <c r="C3" s="7" t="n">
        <v>1</v>
      </c>
      <c r="D3" s="7" t="n">
        <v>1</v>
      </c>
      <c r="E3" s="7" t="n">
        <v>1</v>
      </c>
      <c r="F3" s="7" t="n">
        <v>1</v>
      </c>
      <c r="G3" s="7" t="n">
        <v>0.6666666666666666</v>
      </c>
      <c r="H3" s="7" t="n">
        <v>1.5</v>
      </c>
      <c r="I3" s="7" t="n">
        <v>1</v>
      </c>
      <c r="J3" s="7" t="n">
        <v>0.6666666666666666</v>
      </c>
      <c r="K3" s="7" t="n">
        <v>1.5</v>
      </c>
      <c r="L3" s="7" t="n">
        <v>1</v>
      </c>
      <c r="M3" s="7" t="n">
        <v>1</v>
      </c>
      <c r="N3" s="7" t="n">
        <v>1</v>
      </c>
      <c r="O3" s="7" t="n">
        <v>1</v>
      </c>
      <c r="P3" s="7" t="n">
        <v>0.8</v>
      </c>
      <c r="Q3" s="7" t="n">
        <v>1.2</v>
      </c>
      <c r="R3" s="7" t="n">
        <v>1</v>
      </c>
      <c r="S3" s="7" t="n">
        <v>1</v>
      </c>
      <c r="T3" s="7" t="n">
        <v>1</v>
      </c>
      <c r="U3" s="7" t="n">
        <v>1</v>
      </c>
      <c r="V3" s="7" t="n">
        <v>1</v>
      </c>
      <c r="W3" s="7" t="n">
        <v>1</v>
      </c>
      <c r="X3" s="7" t="n">
        <v>1</v>
      </c>
      <c r="Y3" s="7" t="n">
        <v>1</v>
      </c>
      <c r="Z3" s="7" t="n">
        <v>1</v>
      </c>
      <c r="AA3" s="7" t="n">
        <v>1</v>
      </c>
      <c r="AB3" s="7" t="n">
        <v>1</v>
      </c>
      <c r="AC3" s="7" t="n">
        <v>1</v>
      </c>
      <c r="AD3" s="7" t="n">
        <v>1</v>
      </c>
      <c r="AE3" s="7" t="n">
        <v>1</v>
      </c>
      <c r="AF3" s="7" t="n">
        <v>1</v>
      </c>
      <c r="AG3" s="7" t="n">
        <v>1</v>
      </c>
      <c r="AH3" s="7" t="n">
        <v>1</v>
      </c>
      <c r="AI3" s="7" t="n">
        <v>1</v>
      </c>
    </row>
    <row r="4">
      <c r="A4" t="inlineStr">
        <is>
          <t>Множитель: время загрузки</t>
        </is>
      </c>
      <c r="B4" t="inlineStr">
        <is>
          <t>x</t>
        </is>
      </c>
      <c r="C4" s="7" t="n">
        <v>1</v>
      </c>
      <c r="D4" s="7" t="n">
        <v>1</v>
      </c>
      <c r="E4" s="7" t="n">
        <v>1</v>
      </c>
      <c r="F4" s="7" t="n">
        <v>1</v>
      </c>
      <c r="G4" s="7" t="n">
        <v>2</v>
      </c>
      <c r="H4" s="7" t="n">
        <v>0.6666666666666666</v>
      </c>
      <c r="I4" s="7" t="n">
        <v>1</v>
      </c>
      <c r="J4" s="7" t="n">
        <v>2</v>
      </c>
      <c r="K4" s="7" t="n">
        <v>0.6666666666666666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  <c r="Q4" s="7" t="n">
        <v>1</v>
      </c>
      <c r="R4" s="7" t="n">
        <v>0.8</v>
      </c>
      <c r="S4" s="7" t="n">
        <v>1.2</v>
      </c>
      <c r="T4" s="7" t="n">
        <v>1</v>
      </c>
      <c r="U4" s="7" t="n">
        <v>1</v>
      </c>
      <c r="V4" s="7" t="n">
        <v>1</v>
      </c>
      <c r="W4" s="7" t="n">
        <v>1</v>
      </c>
      <c r="X4" s="7" t="n">
        <v>1</v>
      </c>
      <c r="Y4" s="7" t="n">
        <v>1</v>
      </c>
      <c r="Z4" s="7" t="n">
        <v>1</v>
      </c>
      <c r="AA4" s="7" t="n">
        <v>1</v>
      </c>
      <c r="AB4" s="7" t="n">
        <v>1</v>
      </c>
      <c r="AC4" s="7" t="n">
        <v>1</v>
      </c>
      <c r="AD4" s="7" t="n">
        <v>1</v>
      </c>
      <c r="AE4" s="7" t="n">
        <v>1</v>
      </c>
      <c r="AF4" s="7" t="n">
        <v>1</v>
      </c>
      <c r="AG4" s="7" t="n">
        <v>1</v>
      </c>
      <c r="AH4" s="7" t="n">
        <v>1</v>
      </c>
      <c r="AI4" s="7" t="n">
        <v>1</v>
      </c>
    </row>
    <row r="5">
      <c r="A5" t="inlineStr">
        <is>
          <t>Множитель: накладное время вылета</t>
        </is>
      </c>
      <c r="B5" t="inlineStr">
        <is>
          <t>x</t>
        </is>
      </c>
      <c r="C5" s="7" t="n">
        <v>1</v>
      </c>
      <c r="D5" s="7" t="n">
        <v>1</v>
      </c>
      <c r="E5" s="7" t="n">
        <v>1</v>
      </c>
      <c r="F5" s="7" t="n">
        <v>1</v>
      </c>
      <c r="G5" s="7" t="n">
        <v>1.333333333333333</v>
      </c>
      <c r="H5" s="7" t="n">
        <v>0.8</v>
      </c>
      <c r="I5" s="7" t="n">
        <v>1</v>
      </c>
      <c r="J5" s="7" t="n">
        <v>1.333333333333333</v>
      </c>
      <c r="K5" s="7" t="n">
        <v>0.8</v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  <c r="R5" s="7" t="n">
        <v>1</v>
      </c>
      <c r="S5" s="7" t="n">
        <v>1</v>
      </c>
      <c r="T5" s="7" t="n">
        <v>0.8</v>
      </c>
      <c r="U5" s="7" t="n">
        <v>1.2</v>
      </c>
      <c r="V5" s="7" t="n">
        <v>1</v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7" t="n">
        <v>1</v>
      </c>
      <c r="AC5" s="7" t="n">
        <v>1</v>
      </c>
      <c r="AD5" s="7" t="n">
        <v>1</v>
      </c>
      <c r="AE5" s="7" t="n">
        <v>1</v>
      </c>
      <c r="AF5" s="7" t="n">
        <v>1</v>
      </c>
      <c r="AG5" s="7" t="n">
        <v>1</v>
      </c>
      <c r="AH5" s="7" t="n">
        <v>1</v>
      </c>
      <c r="AI5" s="7" t="n">
        <v>1</v>
      </c>
    </row>
    <row r="6">
      <c r="A6" t="inlineStr">
        <is>
          <t>Множитель: полезная нагрузка</t>
        </is>
      </c>
      <c r="B6" t="inlineStr">
        <is>
          <t>x</t>
        </is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0.8888888888888888</v>
      </c>
      <c r="H6" s="7" t="n">
        <v>1.111111111111111</v>
      </c>
      <c r="I6" s="7" t="n">
        <v>1</v>
      </c>
      <c r="J6" s="7" t="n">
        <v>0.8888888888888888</v>
      </c>
      <c r="K6" s="7" t="n">
        <v>1.111111111111111</v>
      </c>
      <c r="L6" s="7" t="n">
        <v>1</v>
      </c>
      <c r="M6" s="7" t="n">
        <v>0.2666666666666667</v>
      </c>
      <c r="N6" s="7" t="n">
        <v>1</v>
      </c>
      <c r="O6" s="7" t="n">
        <v>1</v>
      </c>
      <c r="P6" s="7" t="n">
        <v>1</v>
      </c>
      <c r="Q6" s="7" t="n">
        <v>1</v>
      </c>
      <c r="R6" s="7" t="n">
        <v>1</v>
      </c>
      <c r="S6" s="7" t="n">
        <v>1</v>
      </c>
      <c r="T6" s="7" t="n">
        <v>1</v>
      </c>
      <c r="U6" s="7" t="n">
        <v>1</v>
      </c>
      <c r="V6" s="7" t="n">
        <v>0.9</v>
      </c>
      <c r="W6" s="7" t="n">
        <v>1.1</v>
      </c>
      <c r="X6" s="7" t="n">
        <v>1</v>
      </c>
      <c r="Y6" s="7" t="n">
        <v>1</v>
      </c>
      <c r="Z6" s="7" t="n">
        <v>1</v>
      </c>
      <c r="AA6" s="7" t="n">
        <v>1</v>
      </c>
      <c r="AB6" s="7" t="n">
        <v>1</v>
      </c>
      <c r="AC6" s="7" t="n">
        <v>1</v>
      </c>
      <c r="AD6" s="7" t="n">
        <v>1</v>
      </c>
      <c r="AE6" s="7" t="n">
        <v>1</v>
      </c>
      <c r="AF6" s="7" t="n">
        <v>1</v>
      </c>
      <c r="AG6" s="7" t="n">
        <v>1</v>
      </c>
      <c r="AH6" s="7" t="n">
        <v>1</v>
      </c>
      <c r="AI6" s="7" t="n">
        <v>1</v>
      </c>
    </row>
    <row r="7">
      <c r="A7" t="inlineStr">
        <is>
          <t>Множитель: цена батареи</t>
        </is>
      </c>
      <c r="B7" t="inlineStr">
        <is>
          <t>x</t>
        </is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  <c r="I7" s="7" t="n">
        <v>1</v>
      </c>
      <c r="J7" s="7" t="n">
        <v>1</v>
      </c>
      <c r="K7" s="7" t="n">
        <v>1</v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  <c r="R7" s="7" t="n">
        <v>1</v>
      </c>
      <c r="S7" s="7" t="n">
        <v>1</v>
      </c>
      <c r="T7" s="7" t="n">
        <v>1</v>
      </c>
      <c r="U7" s="7" t="n">
        <v>1</v>
      </c>
      <c r="V7" s="7" t="n">
        <v>1</v>
      </c>
      <c r="W7" s="7" t="n">
        <v>1</v>
      </c>
      <c r="X7" s="7" t="n">
        <v>1</v>
      </c>
      <c r="Y7" s="7" t="n">
        <v>1</v>
      </c>
      <c r="Z7" s="7" t="n">
        <v>0.8</v>
      </c>
      <c r="AA7" s="7" t="n">
        <v>1.2</v>
      </c>
      <c r="AB7" s="7" t="n">
        <v>1</v>
      </c>
      <c r="AC7" s="7" t="n">
        <v>1</v>
      </c>
      <c r="AD7" s="7" t="n">
        <v>1</v>
      </c>
      <c r="AE7" s="7" t="n">
        <v>1</v>
      </c>
      <c r="AF7" s="7" t="n">
        <v>1</v>
      </c>
      <c r="AG7" s="7" t="n">
        <v>1</v>
      </c>
      <c r="AH7" s="7" t="n">
        <v>1</v>
      </c>
      <c r="AI7" s="7" t="n">
        <v>1</v>
      </c>
    </row>
    <row r="8">
      <c r="A8" t="inlineStr">
        <is>
          <t>Множитель: оплата пилота</t>
        </is>
      </c>
      <c r="B8" t="inlineStr">
        <is>
          <t>x</t>
        </is>
      </c>
      <c r="C8" s="7" t="n">
        <v>1</v>
      </c>
      <c r="D8" s="7" t="n">
        <v>1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0.4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  <c r="R8" s="7" t="n">
        <v>1</v>
      </c>
      <c r="S8" s="7" t="n">
        <v>1</v>
      </c>
      <c r="T8" s="7" t="n">
        <v>1</v>
      </c>
      <c r="U8" s="7" t="n">
        <v>1</v>
      </c>
      <c r="V8" s="7" t="n">
        <v>1</v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7" t="n">
        <v>0.8</v>
      </c>
      <c r="AC8" s="7" t="n">
        <v>1.2</v>
      </c>
      <c r="AD8" s="7" t="n">
        <v>1</v>
      </c>
      <c r="AE8" s="7" t="n">
        <v>1</v>
      </c>
      <c r="AF8" s="7" t="n">
        <v>1</v>
      </c>
      <c r="AG8" s="7" t="n">
        <v>1</v>
      </c>
      <c r="AH8" s="7" t="n">
        <v>1</v>
      </c>
      <c r="AI8" s="7" t="n">
        <v>1</v>
      </c>
    </row>
    <row r="9">
      <c r="A9" t="inlineStr">
        <is>
          <t>Множитель: цена бензина</t>
        </is>
      </c>
      <c r="B9" t="inlineStr">
        <is>
          <t>x</t>
        </is>
      </c>
      <c r="C9" s="7" t="n">
        <v>1</v>
      </c>
      <c r="D9" s="7" t="n">
        <v>1</v>
      </c>
      <c r="E9" s="7" t="n">
        <v>1</v>
      </c>
      <c r="F9" s="7" t="n">
        <v>1</v>
      </c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1</v>
      </c>
      <c r="M9" s="7" t="n">
        <v>1</v>
      </c>
      <c r="N9" s="7" t="n">
        <v>1</v>
      </c>
      <c r="O9" s="7" t="n">
        <v>1</v>
      </c>
      <c r="P9" s="7" t="n">
        <v>1</v>
      </c>
      <c r="Q9" s="7" t="n">
        <v>1</v>
      </c>
      <c r="R9" s="7" t="n">
        <v>1</v>
      </c>
      <c r="S9" s="7" t="n">
        <v>1</v>
      </c>
      <c r="T9" s="7" t="n">
        <v>1</v>
      </c>
      <c r="U9" s="7" t="n">
        <v>1</v>
      </c>
      <c r="V9" s="7" t="n">
        <v>1</v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7" t="n">
        <v>1</v>
      </c>
      <c r="AC9" s="7" t="n">
        <v>1</v>
      </c>
      <c r="AD9" s="7" t="n">
        <v>0.8</v>
      </c>
      <c r="AE9" s="7" t="n">
        <v>1.2</v>
      </c>
      <c r="AF9" s="7" t="n">
        <v>1</v>
      </c>
      <c r="AG9" s="7" t="n">
        <v>1</v>
      </c>
      <c r="AH9" s="7" t="n">
        <v>1</v>
      </c>
      <c r="AI9" s="7" t="n">
        <v>1</v>
      </c>
    </row>
    <row r="10">
      <c r="A10" t="inlineStr">
        <is>
          <t>Множитель: ресурс батареи</t>
        </is>
      </c>
      <c r="B10" t="inlineStr">
        <is>
          <t>x</t>
        </is>
      </c>
      <c r="C10" s="7" t="n">
        <v>1</v>
      </c>
      <c r="D10" s="7" t="n">
        <v>1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  <c r="R10" s="7" t="n">
        <v>1</v>
      </c>
      <c r="S10" s="7" t="n">
        <v>1</v>
      </c>
      <c r="T10" s="7" t="n">
        <v>1</v>
      </c>
      <c r="U10" s="7" t="n">
        <v>1</v>
      </c>
      <c r="V10" s="7" t="n">
        <v>1</v>
      </c>
      <c r="W10" s="7" t="n">
        <v>1</v>
      </c>
      <c r="X10" s="7" t="n">
        <v>1</v>
      </c>
      <c r="Y10" s="7" t="n">
        <v>1</v>
      </c>
      <c r="Z10" s="7" t="n">
        <v>1</v>
      </c>
      <c r="AA10" s="7" t="n">
        <v>1</v>
      </c>
      <c r="AB10" s="7" t="n">
        <v>1</v>
      </c>
      <c r="AC10" s="7" t="n">
        <v>1</v>
      </c>
      <c r="AD10" s="7" t="n">
        <v>1</v>
      </c>
      <c r="AE10" s="7" t="n">
        <v>1</v>
      </c>
      <c r="AF10" s="7" t="n">
        <v>0.8</v>
      </c>
      <c r="AG10" s="7" t="n">
        <v>1.2</v>
      </c>
      <c r="AH10" s="7" t="n">
        <v>1</v>
      </c>
      <c r="AI10" s="7" t="n">
        <v>1</v>
      </c>
    </row>
    <row r="11">
      <c r="A11" t="inlineStr">
        <is>
          <t>Множитель: рабочих дней в сезоне</t>
        </is>
      </c>
      <c r="B11" t="inlineStr">
        <is>
          <t>x</t>
        </is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7" t="n">
        <v>1</v>
      </c>
      <c r="N11" s="7" t="n">
        <v>1</v>
      </c>
      <c r="O11" s="7" t="n">
        <v>1</v>
      </c>
      <c r="P11" s="7" t="n">
        <v>1</v>
      </c>
      <c r="Q11" s="7" t="n">
        <v>1</v>
      </c>
      <c r="R11" s="7" t="n">
        <v>1</v>
      </c>
      <c r="S11" s="7" t="n">
        <v>1</v>
      </c>
      <c r="T11" s="7" t="n">
        <v>1</v>
      </c>
      <c r="U11" s="7" t="n">
        <v>1</v>
      </c>
      <c r="V11" s="7" t="n">
        <v>1</v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7" t="n">
        <v>1</v>
      </c>
      <c r="AC11" s="7" t="n">
        <v>1</v>
      </c>
      <c r="AD11" s="7" t="n">
        <v>1</v>
      </c>
      <c r="AE11" s="7" t="n">
        <v>1</v>
      </c>
      <c r="AF11" s="7" t="n">
        <v>1</v>
      </c>
      <c r="AG11" s="7" t="n">
        <v>1</v>
      </c>
      <c r="AH11" s="7" t="n">
        <v>0.8</v>
      </c>
      <c r="AI11" s="7" t="n">
        <v>1.2</v>
      </c>
    </row>
    <row r="12">
      <c r="A12" t="inlineStr">
        <is>
          <t>Множитель: ширина захвата</t>
        </is>
      </c>
      <c r="B12" t="inlineStr">
        <is>
          <t>x</t>
        </is>
      </c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  <c r="T12" s="7" t="n">
        <v>1</v>
      </c>
      <c r="U12" s="7" t="n">
        <v>1</v>
      </c>
      <c r="V12" s="7" t="n">
        <v>1</v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7" t="n">
        <v>1</v>
      </c>
      <c r="AC12" s="7" t="n">
        <v>1</v>
      </c>
      <c r="AD12" s="7" t="n">
        <v>1</v>
      </c>
      <c r="AE12" s="7" t="n">
        <v>1</v>
      </c>
      <c r="AF12" s="7" t="n">
        <v>1</v>
      </c>
      <c r="AG12" s="7" t="n">
        <v>1</v>
      </c>
      <c r="AH12" s="7" t="n">
        <v>1</v>
      </c>
      <c r="AI12" s="7" t="n">
        <v>1</v>
      </c>
    </row>
    <row r="13">
      <c r="A13" t="inlineStr">
        <is>
          <t>Множитель: скорость</t>
        </is>
      </c>
      <c r="B13" t="inlineStr">
        <is>
          <t>x</t>
        </is>
      </c>
      <c r="C13" s="7" t="n">
        <v>1</v>
      </c>
      <c r="D13" s="7" t="n">
        <v>1</v>
      </c>
      <c r="E13" s="7" t="n">
        <v>1</v>
      </c>
      <c r="F13" s="7" t="n">
        <v>1</v>
      </c>
      <c r="G13" s="7" t="n">
        <v>1</v>
      </c>
      <c r="H13" s="7" t="n">
        <v>1</v>
      </c>
      <c r="I13" s="7" t="n">
        <v>1</v>
      </c>
      <c r="J13" s="7" t="n">
        <v>1</v>
      </c>
      <c r="K13" s="7" t="n">
        <v>1</v>
      </c>
      <c r="L13" s="7" t="n">
        <v>1</v>
      </c>
      <c r="M13" s="7" t="n">
        <v>1</v>
      </c>
      <c r="N13" s="7" t="n">
        <v>1</v>
      </c>
      <c r="O13" s="7" t="n">
        <v>1</v>
      </c>
      <c r="P13" s="7" t="n">
        <v>1</v>
      </c>
      <c r="Q13" s="7" t="n">
        <v>1</v>
      </c>
      <c r="R13" s="7" t="n">
        <v>1</v>
      </c>
      <c r="S13" s="7" t="n">
        <v>1</v>
      </c>
      <c r="T13" s="7" t="n">
        <v>1</v>
      </c>
      <c r="U13" s="7" t="n">
        <v>1</v>
      </c>
      <c r="V13" s="7" t="n">
        <v>1</v>
      </c>
      <c r="W13" s="7" t="n">
        <v>1</v>
      </c>
      <c r="X13" s="7" t="n">
        <v>1</v>
      </c>
      <c r="Y13" s="7" t="n">
        <v>1</v>
      </c>
      <c r="Z13" s="7" t="n">
        <v>1</v>
      </c>
      <c r="AA13" s="7" t="n">
        <v>1</v>
      </c>
      <c r="AB13" s="7" t="n">
        <v>1</v>
      </c>
      <c r="AC13" s="7" t="n">
        <v>1</v>
      </c>
      <c r="AD13" s="7" t="n">
        <v>1</v>
      </c>
      <c r="AE13" s="7" t="n">
        <v>1</v>
      </c>
      <c r="AF13" s="7" t="n">
        <v>1</v>
      </c>
      <c r="AG13" s="7" t="n">
        <v>1</v>
      </c>
      <c r="AH13" s="7" t="n">
        <v>1</v>
      </c>
      <c r="AI13" s="7" t="n">
        <v>1</v>
      </c>
    </row>
    <row r="14">
      <c r="A14" t="inlineStr">
        <is>
          <t>Множитель: подача гранул</t>
        </is>
      </c>
      <c r="B14" t="inlineStr">
        <is>
          <t>x</t>
        </is>
      </c>
      <c r="C14" s="7" t="n">
        <v>1</v>
      </c>
      <c r="D14" s="7" t="n">
        <v>1</v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  <c r="Q14" s="7" t="n">
        <v>1</v>
      </c>
      <c r="R14" s="7" t="n">
        <v>1</v>
      </c>
      <c r="S14" s="7" t="n">
        <v>1</v>
      </c>
      <c r="T14" s="7" t="n">
        <v>1</v>
      </c>
      <c r="U14" s="7" t="n">
        <v>1</v>
      </c>
      <c r="V14" s="7" t="n">
        <v>1</v>
      </c>
      <c r="W14" s="7" t="n">
        <v>1</v>
      </c>
      <c r="X14" s="7" t="n">
        <v>0.8</v>
      </c>
      <c r="Y14" s="7" t="n">
        <v>1.2</v>
      </c>
      <c r="Z14" s="7" t="n">
        <v>1</v>
      </c>
      <c r="AA14" s="7" t="n">
        <v>1</v>
      </c>
      <c r="AB14" s="7" t="n">
        <v>1</v>
      </c>
      <c r="AC14" s="7" t="n">
        <v>1</v>
      </c>
      <c r="AD14" s="7" t="n">
        <v>1</v>
      </c>
      <c r="AE14" s="7" t="n">
        <v>1</v>
      </c>
      <c r="AF14" s="7" t="n">
        <v>1</v>
      </c>
      <c r="AG14" s="7" t="n">
        <v>1</v>
      </c>
      <c r="AH14" s="7" t="n">
        <v>1</v>
      </c>
      <c r="AI14" s="7" t="n">
        <v>1</v>
      </c>
    </row>
    <row r="15">
      <c r="A15" s="3" t="inlineStr">
        <is>
          <t>ДЕЙСТВУЮЩИЕ ВХОДЫ СЦЕНАРИЯ</t>
        </is>
      </c>
      <c r="B15" s="2" t="inlineStr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>
      <c r="A16" t="inlineStr">
        <is>
          <t>Полезная нагрузка</t>
        </is>
      </c>
      <c r="B16" t="inlineStr">
        <is>
          <t>кг</t>
        </is>
      </c>
      <c r="C16" s="9">
        <f>payload_kg*C6</f>
        <v/>
      </c>
      <c r="D16" s="9">
        <f>payload_kg*D6</f>
        <v/>
      </c>
      <c r="E16" s="9">
        <f>payload_kg*E6</f>
        <v/>
      </c>
      <c r="F16" s="9">
        <f>payload_kg*F6</f>
        <v/>
      </c>
      <c r="G16" s="9">
        <f>payload_kg*G6</f>
        <v/>
      </c>
      <c r="H16" s="9">
        <f>payload_kg*H6</f>
        <v/>
      </c>
      <c r="I16" s="9">
        <f>payload_kg*I6</f>
        <v/>
      </c>
      <c r="J16" s="9">
        <f>payload_kg*J6</f>
        <v/>
      </c>
      <c r="K16" s="9">
        <f>payload_kg*K6</f>
        <v/>
      </c>
      <c r="L16" s="9">
        <f>payload_kg*L6</f>
        <v/>
      </c>
      <c r="M16" s="9">
        <f>payload_kg*M6</f>
        <v/>
      </c>
      <c r="N16" s="9">
        <f>payload_kg*N6</f>
        <v/>
      </c>
      <c r="O16" s="9">
        <f>payload_kg*O6</f>
        <v/>
      </c>
      <c r="P16" s="9">
        <f>payload_kg*P6</f>
        <v/>
      </c>
      <c r="Q16" s="9">
        <f>payload_kg*Q6</f>
        <v/>
      </c>
      <c r="R16" s="9">
        <f>payload_kg*R6</f>
        <v/>
      </c>
      <c r="S16" s="9">
        <f>payload_kg*S6</f>
        <v/>
      </c>
      <c r="T16" s="9">
        <f>payload_kg*T6</f>
        <v/>
      </c>
      <c r="U16" s="9">
        <f>payload_kg*U6</f>
        <v/>
      </c>
      <c r="V16" s="9">
        <f>payload_kg*V6</f>
        <v/>
      </c>
      <c r="W16" s="9">
        <f>payload_kg*W6</f>
        <v/>
      </c>
      <c r="X16" s="9">
        <f>payload_kg*X6</f>
        <v/>
      </c>
      <c r="Y16" s="9">
        <f>payload_kg*Y6</f>
        <v/>
      </c>
      <c r="Z16" s="9">
        <f>payload_kg*Z6</f>
        <v/>
      </c>
      <c r="AA16" s="9">
        <f>payload_kg*AA6</f>
        <v/>
      </c>
      <c r="AB16" s="9">
        <f>payload_kg*AB6</f>
        <v/>
      </c>
      <c r="AC16" s="9">
        <f>payload_kg*AC6</f>
        <v/>
      </c>
      <c r="AD16" s="9">
        <f>payload_kg*AD6</f>
        <v/>
      </c>
      <c r="AE16" s="9">
        <f>payload_kg*AE6</f>
        <v/>
      </c>
      <c r="AF16" s="9">
        <f>payload_kg*AF6</f>
        <v/>
      </c>
      <c r="AG16" s="9">
        <f>payload_kg*AG6</f>
        <v/>
      </c>
      <c r="AH16" s="9">
        <f>payload_kg*AH6</f>
        <v/>
      </c>
      <c r="AI16" s="9">
        <f>payload_kg*AI6</f>
        <v/>
      </c>
    </row>
    <row r="17">
      <c r="A17" t="inlineStr">
        <is>
          <t>Эффективное лётное время</t>
        </is>
      </c>
      <c r="B17" t="inlineStr">
        <is>
          <t>ч/день</t>
        </is>
      </c>
      <c r="C17" s="9">
        <f>eff_hours_per_day*C3</f>
        <v/>
      </c>
      <c r="D17" s="9">
        <f>eff_hours_per_day*D3</f>
        <v/>
      </c>
      <c r="E17" s="9">
        <f>eff_hours_per_day*E3</f>
        <v/>
      </c>
      <c r="F17" s="9">
        <f>eff_hours_per_day*F3</f>
        <v/>
      </c>
      <c r="G17" s="9">
        <f>eff_hours_per_day*G3</f>
        <v/>
      </c>
      <c r="H17" s="9">
        <f>eff_hours_per_day*H3</f>
        <v/>
      </c>
      <c r="I17" s="9">
        <f>eff_hours_per_day*I3</f>
        <v/>
      </c>
      <c r="J17" s="9">
        <f>eff_hours_per_day*J3</f>
        <v/>
      </c>
      <c r="K17" s="9">
        <f>eff_hours_per_day*K3</f>
        <v/>
      </c>
      <c r="L17" s="9">
        <f>eff_hours_per_day*L3</f>
        <v/>
      </c>
      <c r="M17" s="9">
        <f>eff_hours_per_day*M3</f>
        <v/>
      </c>
      <c r="N17" s="9">
        <f>eff_hours_per_day*N3</f>
        <v/>
      </c>
      <c r="O17" s="9">
        <f>eff_hours_per_day*O3</f>
        <v/>
      </c>
      <c r="P17" s="9">
        <f>eff_hours_per_day*P3</f>
        <v/>
      </c>
      <c r="Q17" s="9">
        <f>eff_hours_per_day*Q3</f>
        <v/>
      </c>
      <c r="R17" s="9">
        <f>eff_hours_per_day*R3</f>
        <v/>
      </c>
      <c r="S17" s="9">
        <f>eff_hours_per_day*S3</f>
        <v/>
      </c>
      <c r="T17" s="9">
        <f>eff_hours_per_day*T3</f>
        <v/>
      </c>
      <c r="U17" s="9">
        <f>eff_hours_per_day*U3</f>
        <v/>
      </c>
      <c r="V17" s="9">
        <f>eff_hours_per_day*V3</f>
        <v/>
      </c>
      <c r="W17" s="9">
        <f>eff_hours_per_day*W3</f>
        <v/>
      </c>
      <c r="X17" s="9">
        <f>eff_hours_per_day*X3</f>
        <v/>
      </c>
      <c r="Y17" s="9">
        <f>eff_hours_per_day*Y3</f>
        <v/>
      </c>
      <c r="Z17" s="9">
        <f>eff_hours_per_day*Z3</f>
        <v/>
      </c>
      <c r="AA17" s="9">
        <f>eff_hours_per_day*AA3</f>
        <v/>
      </c>
      <c r="AB17" s="9">
        <f>eff_hours_per_day*AB3</f>
        <v/>
      </c>
      <c r="AC17" s="9">
        <f>eff_hours_per_day*AC3</f>
        <v/>
      </c>
      <c r="AD17" s="9">
        <f>eff_hours_per_day*AD3</f>
        <v/>
      </c>
      <c r="AE17" s="9">
        <f>eff_hours_per_day*AE3</f>
        <v/>
      </c>
      <c r="AF17" s="9">
        <f>eff_hours_per_day*AF3</f>
        <v/>
      </c>
      <c r="AG17" s="9">
        <f>eff_hours_per_day*AG3</f>
        <v/>
      </c>
      <c r="AH17" s="9">
        <f>eff_hours_per_day*AH3</f>
        <v/>
      </c>
      <c r="AI17" s="9">
        <f>eff_hours_per_day*AI3</f>
        <v/>
      </c>
    </row>
    <row r="18">
      <c r="A18" t="inlineStr">
        <is>
          <t>Загрузка и смена батареи</t>
        </is>
      </c>
      <c r="B18" t="inlineStr">
        <is>
          <t>мин</t>
        </is>
      </c>
      <c r="C18" s="9">
        <f>reload_min*C4</f>
        <v/>
      </c>
      <c r="D18" s="9">
        <f>reload_min*D4</f>
        <v/>
      </c>
      <c r="E18" s="9">
        <f>reload_min*E4</f>
        <v/>
      </c>
      <c r="F18" s="9">
        <f>reload_min*F4</f>
        <v/>
      </c>
      <c r="G18" s="9">
        <f>reload_min*G4</f>
        <v/>
      </c>
      <c r="H18" s="9">
        <f>reload_min*H4</f>
        <v/>
      </c>
      <c r="I18" s="9">
        <f>reload_min*I4</f>
        <v/>
      </c>
      <c r="J18" s="9">
        <f>reload_min*J4</f>
        <v/>
      </c>
      <c r="K18" s="9">
        <f>reload_min*K4</f>
        <v/>
      </c>
      <c r="L18" s="9">
        <f>reload_min*L4</f>
        <v/>
      </c>
      <c r="M18" s="9">
        <f>reload_min*M4</f>
        <v/>
      </c>
      <c r="N18" s="9">
        <f>reload_min*N4</f>
        <v/>
      </c>
      <c r="O18" s="9">
        <f>reload_min*O4</f>
        <v/>
      </c>
      <c r="P18" s="9">
        <f>reload_min*P4</f>
        <v/>
      </c>
      <c r="Q18" s="9">
        <f>reload_min*Q4</f>
        <v/>
      </c>
      <c r="R18" s="9">
        <f>reload_min*R4</f>
        <v/>
      </c>
      <c r="S18" s="9">
        <f>reload_min*S4</f>
        <v/>
      </c>
      <c r="T18" s="9">
        <f>reload_min*T4</f>
        <v/>
      </c>
      <c r="U18" s="9">
        <f>reload_min*U4</f>
        <v/>
      </c>
      <c r="V18" s="9">
        <f>reload_min*V4</f>
        <v/>
      </c>
      <c r="W18" s="9">
        <f>reload_min*W4</f>
        <v/>
      </c>
      <c r="X18" s="9">
        <f>reload_min*X4</f>
        <v/>
      </c>
      <c r="Y18" s="9">
        <f>reload_min*Y4</f>
        <v/>
      </c>
      <c r="Z18" s="9">
        <f>reload_min*Z4</f>
        <v/>
      </c>
      <c r="AA18" s="9">
        <f>reload_min*AA4</f>
        <v/>
      </c>
      <c r="AB18" s="9">
        <f>reload_min*AB4</f>
        <v/>
      </c>
      <c r="AC18" s="9">
        <f>reload_min*AC4</f>
        <v/>
      </c>
      <c r="AD18" s="9">
        <f>reload_min*AD4</f>
        <v/>
      </c>
      <c r="AE18" s="9">
        <f>reload_min*AE4</f>
        <v/>
      </c>
      <c r="AF18" s="9">
        <f>reload_min*AF4</f>
        <v/>
      </c>
      <c r="AG18" s="9">
        <f>reload_min*AG4</f>
        <v/>
      </c>
      <c r="AH18" s="9">
        <f>reload_min*AH4</f>
        <v/>
      </c>
      <c r="AI18" s="9">
        <f>reload_min*AI4</f>
        <v/>
      </c>
    </row>
    <row r="19">
      <c r="A19" t="inlineStr">
        <is>
          <t>Накладное время вылета</t>
        </is>
      </c>
      <c r="B19" t="inlineStr">
        <is>
          <t>мин</t>
        </is>
      </c>
      <c r="C19" s="9">
        <f>overhead_min*C5</f>
        <v/>
      </c>
      <c r="D19" s="9">
        <f>overhead_min*D5</f>
        <v/>
      </c>
      <c r="E19" s="9">
        <f>overhead_min*E5</f>
        <v/>
      </c>
      <c r="F19" s="9">
        <f>overhead_min*F5</f>
        <v/>
      </c>
      <c r="G19" s="9">
        <f>overhead_min*G5</f>
        <v/>
      </c>
      <c r="H19" s="9">
        <f>overhead_min*H5</f>
        <v/>
      </c>
      <c r="I19" s="9">
        <f>overhead_min*I5</f>
        <v/>
      </c>
      <c r="J19" s="9">
        <f>overhead_min*J5</f>
        <v/>
      </c>
      <c r="K19" s="9">
        <f>overhead_min*K5</f>
        <v/>
      </c>
      <c r="L19" s="9">
        <f>overhead_min*L5</f>
        <v/>
      </c>
      <c r="M19" s="9">
        <f>overhead_min*M5</f>
        <v/>
      </c>
      <c r="N19" s="9">
        <f>overhead_min*N5</f>
        <v/>
      </c>
      <c r="O19" s="9">
        <f>overhead_min*O5</f>
        <v/>
      </c>
      <c r="P19" s="9">
        <f>overhead_min*P5</f>
        <v/>
      </c>
      <c r="Q19" s="9">
        <f>overhead_min*Q5</f>
        <v/>
      </c>
      <c r="R19" s="9">
        <f>overhead_min*R5</f>
        <v/>
      </c>
      <c r="S19" s="9">
        <f>overhead_min*S5</f>
        <v/>
      </c>
      <c r="T19" s="9">
        <f>overhead_min*T5</f>
        <v/>
      </c>
      <c r="U19" s="9">
        <f>overhead_min*U5</f>
        <v/>
      </c>
      <c r="V19" s="9">
        <f>overhead_min*V5</f>
        <v/>
      </c>
      <c r="W19" s="9">
        <f>overhead_min*W5</f>
        <v/>
      </c>
      <c r="X19" s="9">
        <f>overhead_min*X5</f>
        <v/>
      </c>
      <c r="Y19" s="9">
        <f>overhead_min*Y5</f>
        <v/>
      </c>
      <c r="Z19" s="9">
        <f>overhead_min*Z5</f>
        <v/>
      </c>
      <c r="AA19" s="9">
        <f>overhead_min*AA5</f>
        <v/>
      </c>
      <c r="AB19" s="9">
        <f>overhead_min*AB5</f>
        <v/>
      </c>
      <c r="AC19" s="9">
        <f>overhead_min*AC5</f>
        <v/>
      </c>
      <c r="AD19" s="9">
        <f>overhead_min*AD5</f>
        <v/>
      </c>
      <c r="AE19" s="9">
        <f>overhead_min*AE5</f>
        <v/>
      </c>
      <c r="AF19" s="9">
        <f>overhead_min*AF5</f>
        <v/>
      </c>
      <c r="AG19" s="9">
        <f>overhead_min*AG5</f>
        <v/>
      </c>
      <c r="AH19" s="9">
        <f>overhead_min*AH5</f>
        <v/>
      </c>
      <c r="AI19" s="9">
        <f>overhead_min*AI5</f>
        <v/>
      </c>
    </row>
    <row r="20">
      <c r="A20" t="inlineStr">
        <is>
          <t>Цена батареи</t>
        </is>
      </c>
      <c r="B20" t="inlineStr">
        <is>
          <t>USD</t>
        </is>
      </c>
      <c r="C20" s="10">
        <f>battery_price_usd*C7</f>
        <v/>
      </c>
      <c r="D20" s="10">
        <f>battery_price_usd*D7</f>
        <v/>
      </c>
      <c r="E20" s="10">
        <f>battery_price_usd*E7</f>
        <v/>
      </c>
      <c r="F20" s="10">
        <f>battery_price_usd*F7</f>
        <v/>
      </c>
      <c r="G20" s="10">
        <f>battery_price_usd*G7</f>
        <v/>
      </c>
      <c r="H20" s="10">
        <f>battery_price_usd*H7</f>
        <v/>
      </c>
      <c r="I20" s="10">
        <f>battery_price_usd*I7</f>
        <v/>
      </c>
      <c r="J20" s="10">
        <f>battery_price_usd*J7</f>
        <v/>
      </c>
      <c r="K20" s="10">
        <f>battery_price_usd*K7</f>
        <v/>
      </c>
      <c r="L20" s="10">
        <f>battery_price_usd*L7</f>
        <v/>
      </c>
      <c r="M20" s="10">
        <f>battery_price_usd*M7</f>
        <v/>
      </c>
      <c r="N20" s="10">
        <f>battery_price_usd*N7</f>
        <v/>
      </c>
      <c r="O20" s="10">
        <f>battery_price_usd*O7</f>
        <v/>
      </c>
      <c r="P20" s="10">
        <f>battery_price_usd*P7</f>
        <v/>
      </c>
      <c r="Q20" s="10">
        <f>battery_price_usd*Q7</f>
        <v/>
      </c>
      <c r="R20" s="10">
        <f>battery_price_usd*R7</f>
        <v/>
      </c>
      <c r="S20" s="10">
        <f>battery_price_usd*S7</f>
        <v/>
      </c>
      <c r="T20" s="10">
        <f>battery_price_usd*T7</f>
        <v/>
      </c>
      <c r="U20" s="10">
        <f>battery_price_usd*U7</f>
        <v/>
      </c>
      <c r="V20" s="10">
        <f>battery_price_usd*V7</f>
        <v/>
      </c>
      <c r="W20" s="10">
        <f>battery_price_usd*W7</f>
        <v/>
      </c>
      <c r="X20" s="10">
        <f>battery_price_usd*X7</f>
        <v/>
      </c>
      <c r="Y20" s="10">
        <f>battery_price_usd*Y7</f>
        <v/>
      </c>
      <c r="Z20" s="10">
        <f>battery_price_usd*Z7</f>
        <v/>
      </c>
      <c r="AA20" s="10">
        <f>battery_price_usd*AA7</f>
        <v/>
      </c>
      <c r="AB20" s="10">
        <f>battery_price_usd*AB7</f>
        <v/>
      </c>
      <c r="AC20" s="10">
        <f>battery_price_usd*AC7</f>
        <v/>
      </c>
      <c r="AD20" s="10">
        <f>battery_price_usd*AD7</f>
        <v/>
      </c>
      <c r="AE20" s="10">
        <f>battery_price_usd*AE7</f>
        <v/>
      </c>
      <c r="AF20" s="10">
        <f>battery_price_usd*AF7</f>
        <v/>
      </c>
      <c r="AG20" s="10">
        <f>battery_price_usd*AG7</f>
        <v/>
      </c>
      <c r="AH20" s="10">
        <f>battery_price_usd*AH7</f>
        <v/>
      </c>
      <c r="AI20" s="10">
        <f>battery_price_usd*AI7</f>
        <v/>
      </c>
    </row>
    <row r="21">
      <c r="A21" t="inlineStr">
        <is>
          <t>Оплата пилота</t>
        </is>
      </c>
      <c r="B21" t="inlineStr">
        <is>
          <t>сум/день</t>
        </is>
      </c>
      <c r="C21" s="10">
        <f>pilot_day*C8</f>
        <v/>
      </c>
      <c r="D21" s="10">
        <f>pilot_day*D8</f>
        <v/>
      </c>
      <c r="E21" s="10">
        <f>pilot_day*E8</f>
        <v/>
      </c>
      <c r="F21" s="10">
        <f>pilot_day*F8</f>
        <v/>
      </c>
      <c r="G21" s="10">
        <f>pilot_day*G8</f>
        <v/>
      </c>
      <c r="H21" s="10">
        <f>pilot_day*H8</f>
        <v/>
      </c>
      <c r="I21" s="10">
        <f>pilot_day*I8</f>
        <v/>
      </c>
      <c r="J21" s="10">
        <f>pilot_day*J8</f>
        <v/>
      </c>
      <c r="K21" s="10">
        <f>pilot_day*K8</f>
        <v/>
      </c>
      <c r="L21" s="10">
        <f>pilot_day*L8</f>
        <v/>
      </c>
      <c r="M21" s="10">
        <f>pilot_day*M8</f>
        <v/>
      </c>
      <c r="N21" s="10">
        <f>pilot_day*N8</f>
        <v/>
      </c>
      <c r="O21" s="10">
        <f>pilot_day*O8</f>
        <v/>
      </c>
      <c r="P21" s="10">
        <f>pilot_day*P8</f>
        <v/>
      </c>
      <c r="Q21" s="10">
        <f>pilot_day*Q8</f>
        <v/>
      </c>
      <c r="R21" s="10">
        <f>pilot_day*R8</f>
        <v/>
      </c>
      <c r="S21" s="10">
        <f>pilot_day*S8</f>
        <v/>
      </c>
      <c r="T21" s="10">
        <f>pilot_day*T8</f>
        <v/>
      </c>
      <c r="U21" s="10">
        <f>pilot_day*U8</f>
        <v/>
      </c>
      <c r="V21" s="10">
        <f>pilot_day*V8</f>
        <v/>
      </c>
      <c r="W21" s="10">
        <f>pilot_day*W8</f>
        <v/>
      </c>
      <c r="X21" s="10">
        <f>pilot_day*X8</f>
        <v/>
      </c>
      <c r="Y21" s="10">
        <f>pilot_day*Y8</f>
        <v/>
      </c>
      <c r="Z21" s="10">
        <f>pilot_day*Z8</f>
        <v/>
      </c>
      <c r="AA21" s="10">
        <f>pilot_day*AA8</f>
        <v/>
      </c>
      <c r="AB21" s="10">
        <f>pilot_day*AB8</f>
        <v/>
      </c>
      <c r="AC21" s="10">
        <f>pilot_day*AC8</f>
        <v/>
      </c>
      <c r="AD21" s="10">
        <f>pilot_day*AD8</f>
        <v/>
      </c>
      <c r="AE21" s="10">
        <f>pilot_day*AE8</f>
        <v/>
      </c>
      <c r="AF21" s="10">
        <f>pilot_day*AF8</f>
        <v/>
      </c>
      <c r="AG21" s="10">
        <f>pilot_day*AG8</f>
        <v/>
      </c>
      <c r="AH21" s="10">
        <f>pilot_day*AH8</f>
        <v/>
      </c>
      <c r="AI21" s="10">
        <f>pilot_day*AI8</f>
        <v/>
      </c>
    </row>
    <row r="22">
      <c r="A22" t="inlineStr">
        <is>
          <t>Цена бензина</t>
        </is>
      </c>
      <c r="B22" t="inlineStr">
        <is>
          <t>сум/л</t>
        </is>
      </c>
      <c r="C22" s="10">
        <f>petrol_price*C9</f>
        <v/>
      </c>
      <c r="D22" s="10">
        <f>petrol_price*D9</f>
        <v/>
      </c>
      <c r="E22" s="10">
        <f>petrol_price*E9</f>
        <v/>
      </c>
      <c r="F22" s="10">
        <f>petrol_price*F9</f>
        <v/>
      </c>
      <c r="G22" s="10">
        <f>petrol_price*G9</f>
        <v/>
      </c>
      <c r="H22" s="10">
        <f>petrol_price*H9</f>
        <v/>
      </c>
      <c r="I22" s="10">
        <f>petrol_price*I9</f>
        <v/>
      </c>
      <c r="J22" s="10">
        <f>petrol_price*J9</f>
        <v/>
      </c>
      <c r="K22" s="10">
        <f>petrol_price*K9</f>
        <v/>
      </c>
      <c r="L22" s="10">
        <f>petrol_price*L9</f>
        <v/>
      </c>
      <c r="M22" s="10">
        <f>petrol_price*M9</f>
        <v/>
      </c>
      <c r="N22" s="10">
        <f>petrol_price*N9</f>
        <v/>
      </c>
      <c r="O22" s="10">
        <f>petrol_price*O9</f>
        <v/>
      </c>
      <c r="P22" s="10">
        <f>petrol_price*P9</f>
        <v/>
      </c>
      <c r="Q22" s="10">
        <f>petrol_price*Q9</f>
        <v/>
      </c>
      <c r="R22" s="10">
        <f>petrol_price*R9</f>
        <v/>
      </c>
      <c r="S22" s="10">
        <f>petrol_price*S9</f>
        <v/>
      </c>
      <c r="T22" s="10">
        <f>petrol_price*T9</f>
        <v/>
      </c>
      <c r="U22" s="10">
        <f>petrol_price*U9</f>
        <v/>
      </c>
      <c r="V22" s="10">
        <f>petrol_price*V9</f>
        <v/>
      </c>
      <c r="W22" s="10">
        <f>petrol_price*W9</f>
        <v/>
      </c>
      <c r="X22" s="10">
        <f>petrol_price*X9</f>
        <v/>
      </c>
      <c r="Y22" s="10">
        <f>petrol_price*Y9</f>
        <v/>
      </c>
      <c r="Z22" s="10">
        <f>petrol_price*Z9</f>
        <v/>
      </c>
      <c r="AA22" s="10">
        <f>petrol_price*AA9</f>
        <v/>
      </c>
      <c r="AB22" s="10">
        <f>petrol_price*AB9</f>
        <v/>
      </c>
      <c r="AC22" s="10">
        <f>petrol_price*AC9</f>
        <v/>
      </c>
      <c r="AD22" s="10">
        <f>petrol_price*AD9</f>
        <v/>
      </c>
      <c r="AE22" s="10">
        <f>petrol_price*AE9</f>
        <v/>
      </c>
      <c r="AF22" s="10">
        <f>petrol_price*AF9</f>
        <v/>
      </c>
      <c r="AG22" s="10">
        <f>petrol_price*AG9</f>
        <v/>
      </c>
      <c r="AH22" s="10">
        <f>petrol_price*AH9</f>
        <v/>
      </c>
      <c r="AI22" s="10">
        <f>petrol_price*AI9</f>
        <v/>
      </c>
    </row>
    <row r="23">
      <c r="A23" t="inlineStr">
        <is>
          <t>Ресурс батареи</t>
        </is>
      </c>
      <c r="B23" t="inlineStr">
        <is>
          <t>циклов</t>
        </is>
      </c>
      <c r="C23" s="9">
        <f>battery_cycles*C10</f>
        <v/>
      </c>
      <c r="D23" s="9">
        <f>battery_cycles*D10</f>
        <v/>
      </c>
      <c r="E23" s="9">
        <f>battery_cycles*E10</f>
        <v/>
      </c>
      <c r="F23" s="9">
        <f>battery_cycles*F10</f>
        <v/>
      </c>
      <c r="G23" s="9">
        <f>battery_cycles*G10</f>
        <v/>
      </c>
      <c r="H23" s="9">
        <f>battery_cycles*H10</f>
        <v/>
      </c>
      <c r="I23" s="9">
        <f>battery_cycles*I10</f>
        <v/>
      </c>
      <c r="J23" s="9">
        <f>battery_cycles*J10</f>
        <v/>
      </c>
      <c r="K23" s="9">
        <f>battery_cycles*K10</f>
        <v/>
      </c>
      <c r="L23" s="9">
        <f>battery_cycles*L10</f>
        <v/>
      </c>
      <c r="M23" s="9">
        <f>battery_cycles*M10</f>
        <v/>
      </c>
      <c r="N23" s="9">
        <f>battery_cycles*N10</f>
        <v/>
      </c>
      <c r="O23" s="9">
        <f>battery_cycles*O10</f>
        <v/>
      </c>
      <c r="P23" s="9">
        <f>battery_cycles*P10</f>
        <v/>
      </c>
      <c r="Q23" s="9">
        <f>battery_cycles*Q10</f>
        <v/>
      </c>
      <c r="R23" s="9">
        <f>battery_cycles*R10</f>
        <v/>
      </c>
      <c r="S23" s="9">
        <f>battery_cycles*S10</f>
        <v/>
      </c>
      <c r="T23" s="9">
        <f>battery_cycles*T10</f>
        <v/>
      </c>
      <c r="U23" s="9">
        <f>battery_cycles*U10</f>
        <v/>
      </c>
      <c r="V23" s="9">
        <f>battery_cycles*V10</f>
        <v/>
      </c>
      <c r="W23" s="9">
        <f>battery_cycles*W10</f>
        <v/>
      </c>
      <c r="X23" s="9">
        <f>battery_cycles*X10</f>
        <v/>
      </c>
      <c r="Y23" s="9">
        <f>battery_cycles*Y10</f>
        <v/>
      </c>
      <c r="Z23" s="9">
        <f>battery_cycles*Z10</f>
        <v/>
      </c>
      <c r="AA23" s="9">
        <f>battery_cycles*AA10</f>
        <v/>
      </c>
      <c r="AB23" s="9">
        <f>battery_cycles*AB10</f>
        <v/>
      </c>
      <c r="AC23" s="9">
        <f>battery_cycles*AC10</f>
        <v/>
      </c>
      <c r="AD23" s="9">
        <f>battery_cycles*AD10</f>
        <v/>
      </c>
      <c r="AE23" s="9">
        <f>battery_cycles*AE10</f>
        <v/>
      </c>
      <c r="AF23" s="9">
        <f>battery_cycles*AF10</f>
        <v/>
      </c>
      <c r="AG23" s="9">
        <f>battery_cycles*AG10</f>
        <v/>
      </c>
      <c r="AH23" s="9">
        <f>battery_cycles*AH10</f>
        <v/>
      </c>
      <c r="AI23" s="9">
        <f>battery_cycles*AI10</f>
        <v/>
      </c>
    </row>
    <row r="24">
      <c r="A24" t="inlineStr">
        <is>
          <t>Рабочих дней в сезоне</t>
        </is>
      </c>
      <c r="B24" t="inlineStr">
        <is>
          <t>дн</t>
        </is>
      </c>
      <c r="C24" s="9">
        <f>days_per_season*C11</f>
        <v/>
      </c>
      <c r="D24" s="9">
        <f>days_per_season*D11</f>
        <v/>
      </c>
      <c r="E24" s="9">
        <f>days_per_season*E11</f>
        <v/>
      </c>
      <c r="F24" s="9">
        <f>days_per_season*F11</f>
        <v/>
      </c>
      <c r="G24" s="9">
        <f>days_per_season*G11</f>
        <v/>
      </c>
      <c r="H24" s="9">
        <f>days_per_season*H11</f>
        <v/>
      </c>
      <c r="I24" s="9">
        <f>days_per_season*I11</f>
        <v/>
      </c>
      <c r="J24" s="9">
        <f>days_per_season*J11</f>
        <v/>
      </c>
      <c r="K24" s="9">
        <f>days_per_season*K11</f>
        <v/>
      </c>
      <c r="L24" s="9">
        <f>days_per_season*L11</f>
        <v/>
      </c>
      <c r="M24" s="9">
        <f>days_per_season*M11</f>
        <v/>
      </c>
      <c r="N24" s="9">
        <f>days_per_season*N11</f>
        <v/>
      </c>
      <c r="O24" s="9">
        <f>days_per_season*O11</f>
        <v/>
      </c>
      <c r="P24" s="9">
        <f>days_per_season*P11</f>
        <v/>
      </c>
      <c r="Q24" s="9">
        <f>days_per_season*Q11</f>
        <v/>
      </c>
      <c r="R24" s="9">
        <f>days_per_season*R11</f>
        <v/>
      </c>
      <c r="S24" s="9">
        <f>days_per_season*S11</f>
        <v/>
      </c>
      <c r="T24" s="9">
        <f>days_per_season*T11</f>
        <v/>
      </c>
      <c r="U24" s="9">
        <f>days_per_season*U11</f>
        <v/>
      </c>
      <c r="V24" s="9">
        <f>days_per_season*V11</f>
        <v/>
      </c>
      <c r="W24" s="9">
        <f>days_per_season*W11</f>
        <v/>
      </c>
      <c r="X24" s="9">
        <f>days_per_season*X11</f>
        <v/>
      </c>
      <c r="Y24" s="9">
        <f>days_per_season*Y11</f>
        <v/>
      </c>
      <c r="Z24" s="9">
        <f>days_per_season*Z11</f>
        <v/>
      </c>
      <c r="AA24" s="9">
        <f>days_per_season*AA11</f>
        <v/>
      </c>
      <c r="AB24" s="9">
        <f>days_per_season*AB11</f>
        <v/>
      </c>
      <c r="AC24" s="9">
        <f>days_per_season*AC11</f>
        <v/>
      </c>
      <c r="AD24" s="9">
        <f>days_per_season*AD11</f>
        <v/>
      </c>
      <c r="AE24" s="9">
        <f>days_per_season*AE11</f>
        <v/>
      </c>
      <c r="AF24" s="9">
        <f>days_per_season*AF11</f>
        <v/>
      </c>
      <c r="AG24" s="9">
        <f>days_per_season*AG11</f>
        <v/>
      </c>
      <c r="AH24" s="9">
        <f>days_per_season*AH11</f>
        <v/>
      </c>
      <c r="AI24" s="9">
        <f>days_per_season*AI11</f>
        <v/>
      </c>
    </row>
    <row r="25">
      <c r="A25" t="inlineStr">
        <is>
          <t>Ширина захвата</t>
        </is>
      </c>
      <c r="B25" t="inlineStr">
        <is>
          <t>м</t>
        </is>
      </c>
      <c r="C25" s="9">
        <f>swath_eff_m*C12</f>
        <v/>
      </c>
      <c r="D25" s="9">
        <f>swath_eff_m*D12</f>
        <v/>
      </c>
      <c r="E25" s="9">
        <f>swath_eff_m*E12</f>
        <v/>
      </c>
      <c r="F25" s="9">
        <f>swath_eff_m*F12</f>
        <v/>
      </c>
      <c r="G25" s="9">
        <f>swath_eff_m*G12</f>
        <v/>
      </c>
      <c r="H25" s="9">
        <f>swath_eff_m*H12</f>
        <v/>
      </c>
      <c r="I25" s="9">
        <f>swath_eff_m*I12</f>
        <v/>
      </c>
      <c r="J25" s="9">
        <f>swath_eff_m*J12</f>
        <v/>
      </c>
      <c r="K25" s="9">
        <f>swath_eff_m*K12</f>
        <v/>
      </c>
      <c r="L25" s="9">
        <f>swath_eff_m*L12</f>
        <v/>
      </c>
      <c r="M25" s="9">
        <f>swath_eff_m*M12</f>
        <v/>
      </c>
      <c r="N25" s="9">
        <f>swath_eff_m*N12</f>
        <v/>
      </c>
      <c r="O25" s="9">
        <f>swath_eff_m*O12</f>
        <v/>
      </c>
      <c r="P25" s="9">
        <f>swath_eff_m*P12</f>
        <v/>
      </c>
      <c r="Q25" s="9">
        <f>swath_eff_m*Q12</f>
        <v/>
      </c>
      <c r="R25" s="9">
        <f>swath_eff_m*R12</f>
        <v/>
      </c>
      <c r="S25" s="9">
        <f>swath_eff_m*S12</f>
        <v/>
      </c>
      <c r="T25" s="9">
        <f>swath_eff_m*T12</f>
        <v/>
      </c>
      <c r="U25" s="9">
        <f>swath_eff_m*U12</f>
        <v/>
      </c>
      <c r="V25" s="9">
        <f>swath_eff_m*V12</f>
        <v/>
      </c>
      <c r="W25" s="9">
        <f>swath_eff_m*W12</f>
        <v/>
      </c>
      <c r="X25" s="9">
        <f>swath_eff_m*X12</f>
        <v/>
      </c>
      <c r="Y25" s="9">
        <f>swath_eff_m*Y12</f>
        <v/>
      </c>
      <c r="Z25" s="9">
        <f>swath_eff_m*Z12</f>
        <v/>
      </c>
      <c r="AA25" s="9">
        <f>swath_eff_m*AA12</f>
        <v/>
      </c>
      <c r="AB25" s="9">
        <f>swath_eff_m*AB12</f>
        <v/>
      </c>
      <c r="AC25" s="9">
        <f>swath_eff_m*AC12</f>
        <v/>
      </c>
      <c r="AD25" s="9">
        <f>swath_eff_m*AD12</f>
        <v/>
      </c>
      <c r="AE25" s="9">
        <f>swath_eff_m*AE12</f>
        <v/>
      </c>
      <c r="AF25" s="9">
        <f>swath_eff_m*AF12</f>
        <v/>
      </c>
      <c r="AG25" s="9">
        <f>swath_eff_m*AG12</f>
        <v/>
      </c>
      <c r="AH25" s="9">
        <f>swath_eff_m*AH12</f>
        <v/>
      </c>
      <c r="AI25" s="9">
        <f>swath_eff_m*AI12</f>
        <v/>
      </c>
    </row>
    <row r="26">
      <c r="A26" t="inlineStr">
        <is>
          <t>Предельная скорость</t>
        </is>
      </c>
      <c r="B26" t="inlineStr">
        <is>
          <t>м/с</t>
        </is>
      </c>
      <c r="C26" s="9">
        <f>speed_ms*C13</f>
        <v/>
      </c>
      <c r="D26" s="9">
        <f>speed_ms*D13</f>
        <v/>
      </c>
      <c r="E26" s="9">
        <f>speed_ms*E13</f>
        <v/>
      </c>
      <c r="F26" s="9">
        <f>speed_ms*F13</f>
        <v/>
      </c>
      <c r="G26" s="9">
        <f>speed_ms*G13</f>
        <v/>
      </c>
      <c r="H26" s="9">
        <f>speed_ms*H13</f>
        <v/>
      </c>
      <c r="I26" s="9">
        <f>speed_ms*I13</f>
        <v/>
      </c>
      <c r="J26" s="9">
        <f>speed_ms*J13</f>
        <v/>
      </c>
      <c r="K26" s="9">
        <f>speed_ms*K13</f>
        <v/>
      </c>
      <c r="L26" s="9">
        <f>speed_ms*L13</f>
        <v/>
      </c>
      <c r="M26" s="9">
        <f>speed_ms*M13</f>
        <v/>
      </c>
      <c r="N26" s="9">
        <f>speed_ms*N13</f>
        <v/>
      </c>
      <c r="O26" s="9">
        <f>speed_ms*O13</f>
        <v/>
      </c>
      <c r="P26" s="9">
        <f>speed_ms*P13</f>
        <v/>
      </c>
      <c r="Q26" s="9">
        <f>speed_ms*Q13</f>
        <v/>
      </c>
      <c r="R26" s="9">
        <f>speed_ms*R13</f>
        <v/>
      </c>
      <c r="S26" s="9">
        <f>speed_ms*S13</f>
        <v/>
      </c>
      <c r="T26" s="9">
        <f>speed_ms*T13</f>
        <v/>
      </c>
      <c r="U26" s="9">
        <f>speed_ms*U13</f>
        <v/>
      </c>
      <c r="V26" s="9">
        <f>speed_ms*V13</f>
        <v/>
      </c>
      <c r="W26" s="9">
        <f>speed_ms*W13</f>
        <v/>
      </c>
      <c r="X26" s="9">
        <f>speed_ms*X13</f>
        <v/>
      </c>
      <c r="Y26" s="9">
        <f>speed_ms*Y13</f>
        <v/>
      </c>
      <c r="Z26" s="9">
        <f>speed_ms*Z13</f>
        <v/>
      </c>
      <c r="AA26" s="9">
        <f>speed_ms*AA13</f>
        <v/>
      </c>
      <c r="AB26" s="9">
        <f>speed_ms*AB13</f>
        <v/>
      </c>
      <c r="AC26" s="9">
        <f>speed_ms*AC13</f>
        <v/>
      </c>
      <c r="AD26" s="9">
        <f>speed_ms*AD13</f>
        <v/>
      </c>
      <c r="AE26" s="9">
        <f>speed_ms*AE13</f>
        <v/>
      </c>
      <c r="AF26" s="9">
        <f>speed_ms*AF13</f>
        <v/>
      </c>
      <c r="AG26" s="9">
        <f>speed_ms*AG13</f>
        <v/>
      </c>
      <c r="AH26" s="9">
        <f>speed_ms*AH13</f>
        <v/>
      </c>
      <c r="AI26" s="9">
        <f>speed_ms*AI13</f>
        <v/>
      </c>
    </row>
    <row r="27">
      <c r="A27" t="inlineStr">
        <is>
          <t>Рабочая подача гранул</t>
        </is>
      </c>
      <c r="B27" t="inlineStr">
        <is>
          <t>кг/мин</t>
        </is>
      </c>
      <c r="C27" s="9">
        <f>flow_kg_min*C14</f>
        <v/>
      </c>
      <c r="D27" s="9">
        <f>flow_kg_min*D14</f>
        <v/>
      </c>
      <c r="E27" s="9">
        <f>flow_kg_min*E14</f>
        <v/>
      </c>
      <c r="F27" s="9">
        <f>flow_kg_min*F14</f>
        <v/>
      </c>
      <c r="G27" s="9">
        <f>flow_kg_min*G14</f>
        <v/>
      </c>
      <c r="H27" s="9">
        <f>flow_kg_min*H14</f>
        <v/>
      </c>
      <c r="I27" s="9">
        <f>flow_kg_min*I14</f>
        <v/>
      </c>
      <c r="J27" s="9">
        <f>flow_kg_min*J14</f>
        <v/>
      </c>
      <c r="K27" s="9">
        <f>flow_kg_min*K14</f>
        <v/>
      </c>
      <c r="L27" s="9">
        <f>flow_kg_min*L14</f>
        <v/>
      </c>
      <c r="M27" s="9">
        <f>flow_kg_min*M14</f>
        <v/>
      </c>
      <c r="N27" s="9">
        <f>flow_kg_min*N14</f>
        <v/>
      </c>
      <c r="O27" s="9">
        <f>flow_kg_min*O14</f>
        <v/>
      </c>
      <c r="P27" s="9">
        <f>flow_kg_min*P14</f>
        <v/>
      </c>
      <c r="Q27" s="9">
        <f>flow_kg_min*Q14</f>
        <v/>
      </c>
      <c r="R27" s="9">
        <f>flow_kg_min*R14</f>
        <v/>
      </c>
      <c r="S27" s="9">
        <f>flow_kg_min*S14</f>
        <v/>
      </c>
      <c r="T27" s="9">
        <f>flow_kg_min*T14</f>
        <v/>
      </c>
      <c r="U27" s="9">
        <f>flow_kg_min*U14</f>
        <v/>
      </c>
      <c r="V27" s="9">
        <f>flow_kg_min*V14</f>
        <v/>
      </c>
      <c r="W27" s="9">
        <f>flow_kg_min*W14</f>
        <v/>
      </c>
      <c r="X27" s="9">
        <f>flow_kg_min*X14</f>
        <v/>
      </c>
      <c r="Y27" s="9">
        <f>flow_kg_min*Y14</f>
        <v/>
      </c>
      <c r="Z27" s="9">
        <f>flow_kg_min*Z14</f>
        <v/>
      </c>
      <c r="AA27" s="9">
        <f>flow_kg_min*AA14</f>
        <v/>
      </c>
      <c r="AB27" s="9">
        <f>flow_kg_min*AB14</f>
        <v/>
      </c>
      <c r="AC27" s="9">
        <f>flow_kg_min*AC14</f>
        <v/>
      </c>
      <c r="AD27" s="9">
        <f>flow_kg_min*AD14</f>
        <v/>
      </c>
      <c r="AE27" s="9">
        <f>flow_kg_min*AE14</f>
        <v/>
      </c>
      <c r="AF27" s="9">
        <f>flow_kg_min*AF14</f>
        <v/>
      </c>
      <c r="AG27" s="9">
        <f>flow_kg_min*AG14</f>
        <v/>
      </c>
      <c r="AH27" s="9">
        <f>flow_kg_min*AH14</f>
        <v/>
      </c>
      <c r="AI27" s="9">
        <f>flow_kg_min*AI14</f>
        <v/>
      </c>
    </row>
    <row r="28">
      <c r="A28" s="3" t="inlineStr">
        <is>
          <t>ПРОИЗВОДИТЕЛЬНОСТЬ</t>
        </is>
      </c>
      <c r="B28" s="2" t="inlineStr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</row>
    <row r="29">
      <c r="A29" t="inlineStr">
        <is>
          <t>Гектаров на одну загрузку по весу бака</t>
        </is>
      </c>
      <c r="B29" t="inlineStr">
        <is>
          <t>га</t>
        </is>
      </c>
      <c r="C29" s="9">
        <f>C16/C2</f>
        <v/>
      </c>
      <c r="D29" s="9">
        <f>D16/D2</f>
        <v/>
      </c>
      <c r="E29" s="9">
        <f>E16/E2</f>
        <v/>
      </c>
      <c r="F29" s="9">
        <f>F16/F2</f>
        <v/>
      </c>
      <c r="G29" s="9">
        <f>G16/G2</f>
        <v/>
      </c>
      <c r="H29" s="9">
        <f>H16/H2</f>
        <v/>
      </c>
      <c r="I29" s="9">
        <f>I16/I2</f>
        <v/>
      </c>
      <c r="J29" s="9">
        <f>J16/J2</f>
        <v/>
      </c>
      <c r="K29" s="9">
        <f>K16/K2</f>
        <v/>
      </c>
      <c r="L29" s="9">
        <f>L16/L2</f>
        <v/>
      </c>
      <c r="M29" s="9">
        <f>M16/M2</f>
        <v/>
      </c>
      <c r="N29" s="9">
        <f>N16/N2</f>
        <v/>
      </c>
      <c r="O29" s="9">
        <f>O16/O2</f>
        <v/>
      </c>
      <c r="P29" s="9">
        <f>P16/P2</f>
        <v/>
      </c>
      <c r="Q29" s="9">
        <f>Q16/Q2</f>
        <v/>
      </c>
      <c r="R29" s="9">
        <f>R16/R2</f>
        <v/>
      </c>
      <c r="S29" s="9">
        <f>S16/S2</f>
        <v/>
      </c>
      <c r="T29" s="9">
        <f>T16/T2</f>
        <v/>
      </c>
      <c r="U29" s="9">
        <f>U16/U2</f>
        <v/>
      </c>
      <c r="V29" s="9">
        <f>V16/V2</f>
        <v/>
      </c>
      <c r="W29" s="9">
        <f>W16/W2</f>
        <v/>
      </c>
      <c r="X29" s="9">
        <f>X16/X2</f>
        <v/>
      </c>
      <c r="Y29" s="9">
        <f>Y16/Y2</f>
        <v/>
      </c>
      <c r="Z29" s="9">
        <f>Z16/Z2</f>
        <v/>
      </c>
      <c r="AA29" s="9">
        <f>AA16/AA2</f>
        <v/>
      </c>
      <c r="AB29" s="9">
        <f>AB16/AB2</f>
        <v/>
      </c>
      <c r="AC29" s="9">
        <f>AC16/AC2</f>
        <v/>
      </c>
      <c r="AD29" s="9">
        <f>AD16/AD2</f>
        <v/>
      </c>
      <c r="AE29" s="9">
        <f>AE16/AE2</f>
        <v/>
      </c>
      <c r="AF29" s="9">
        <f>AF16/AF2</f>
        <v/>
      </c>
      <c r="AG29" s="9">
        <f>AG16/AG2</f>
        <v/>
      </c>
      <c r="AH29" s="9">
        <f>AH16/AH2</f>
        <v/>
      </c>
      <c r="AI29" s="9">
        <f>AI16/AI2</f>
        <v/>
      </c>
    </row>
    <row r="30">
      <c r="A30" t="inlineStr">
        <is>
          <t>Скорость над полем (меньшее из предела и подачи)</t>
        </is>
      </c>
      <c r="B30" t="inlineStr">
        <is>
          <t>м/с</t>
        </is>
      </c>
      <c r="C30" s="9">
        <f>MIN(C26,C27*10000/(C2*C25*60))</f>
        <v/>
      </c>
      <c r="D30" s="9">
        <f>MIN(D26,D27*10000/(D2*D25*60))</f>
        <v/>
      </c>
      <c r="E30" s="9">
        <f>MIN(E26,E27*10000/(E2*E25*60))</f>
        <v/>
      </c>
      <c r="F30" s="9">
        <f>MIN(F26,F27*10000/(F2*F25*60))</f>
        <v/>
      </c>
      <c r="G30" s="9">
        <f>MIN(G26,G27*10000/(G2*G25*60))</f>
        <v/>
      </c>
      <c r="H30" s="9">
        <f>MIN(H26,H27*10000/(H2*H25*60))</f>
        <v/>
      </c>
      <c r="I30" s="9">
        <f>MIN(I26,I27*10000/(I2*I25*60))</f>
        <v/>
      </c>
      <c r="J30" s="9">
        <f>MIN(J26,J27*10000/(J2*J25*60))</f>
        <v/>
      </c>
      <c r="K30" s="9">
        <f>MIN(K26,K27*10000/(K2*K25*60))</f>
        <v/>
      </c>
      <c r="L30" s="9">
        <f>MIN(L26,L27*10000/(L2*L25*60))</f>
        <v/>
      </c>
      <c r="M30" s="9">
        <f>MIN(M26,M27*10000/(M2*M25*60))</f>
        <v/>
      </c>
      <c r="N30" s="9">
        <f>MIN(N26,N27*10000/(N2*N25*60))</f>
        <v/>
      </c>
      <c r="O30" s="9">
        <f>MIN(O26,O27*10000/(O2*O25*60))</f>
        <v/>
      </c>
      <c r="P30" s="9">
        <f>MIN(P26,P27*10000/(P2*P25*60))</f>
        <v/>
      </c>
      <c r="Q30" s="9">
        <f>MIN(Q26,Q27*10000/(Q2*Q25*60))</f>
        <v/>
      </c>
      <c r="R30" s="9">
        <f>MIN(R26,R27*10000/(R2*R25*60))</f>
        <v/>
      </c>
      <c r="S30" s="9">
        <f>MIN(S26,S27*10000/(S2*S25*60))</f>
        <v/>
      </c>
      <c r="T30" s="9">
        <f>MIN(T26,T27*10000/(T2*T25*60))</f>
        <v/>
      </c>
      <c r="U30" s="9">
        <f>MIN(U26,U27*10000/(U2*U25*60))</f>
        <v/>
      </c>
      <c r="V30" s="9">
        <f>MIN(V26,V27*10000/(V2*V25*60))</f>
        <v/>
      </c>
      <c r="W30" s="9">
        <f>MIN(W26,W27*10000/(W2*W25*60))</f>
        <v/>
      </c>
      <c r="X30" s="9">
        <f>MIN(X26,X27*10000/(X2*X25*60))</f>
        <v/>
      </c>
      <c r="Y30" s="9">
        <f>MIN(Y26,Y27*10000/(Y2*Y25*60))</f>
        <v/>
      </c>
      <c r="Z30" s="9">
        <f>MIN(Z26,Z27*10000/(Z2*Z25*60))</f>
        <v/>
      </c>
      <c r="AA30" s="9">
        <f>MIN(AA26,AA27*10000/(AA2*AA25*60))</f>
        <v/>
      </c>
      <c r="AB30" s="9">
        <f>MIN(AB26,AB27*10000/(AB2*AB25*60))</f>
        <v/>
      </c>
      <c r="AC30" s="9">
        <f>MIN(AC26,AC27*10000/(AC2*AC25*60))</f>
        <v/>
      </c>
      <c r="AD30" s="9">
        <f>MIN(AD26,AD27*10000/(AD2*AD25*60))</f>
        <v/>
      </c>
      <c r="AE30" s="9">
        <f>MIN(AE26,AE27*10000/(AE2*AE25*60))</f>
        <v/>
      </c>
      <c r="AF30" s="9">
        <f>MIN(AF26,AF27*10000/(AF2*AF25*60))</f>
        <v/>
      </c>
      <c r="AG30" s="9">
        <f>MIN(AG26,AG27*10000/(AG2*AG25*60))</f>
        <v/>
      </c>
      <c r="AH30" s="9">
        <f>MIN(AH26,AH27*10000/(AH2*AH25*60))</f>
        <v/>
      </c>
      <c r="AI30" s="9">
        <f>MIN(AI26,AI27*10000/(AI2*AI25*60))</f>
        <v/>
      </c>
    </row>
    <row r="31">
      <c r="A31" t="inlineStr">
        <is>
          <t>Что ограничивает скорость</t>
        </is>
      </c>
      <c r="B31" t="inlineStr"/>
      <c r="C31" s="9">
        <f>IF(C30&lt;C26-0.000000000001,"подача гранул","предел скорости")</f>
        <v/>
      </c>
      <c r="D31" s="9">
        <f>IF(D30&lt;D26-0.000000000001,"подача гранул","предел скорости")</f>
        <v/>
      </c>
      <c r="E31" s="9">
        <f>IF(E30&lt;E26-0.000000000001,"подача гранул","предел скорости")</f>
        <v/>
      </c>
      <c r="F31" s="9">
        <f>IF(F30&lt;F26-0.000000000001,"подача гранул","предел скорости")</f>
        <v/>
      </c>
      <c r="G31" s="9">
        <f>IF(G30&lt;G26-0.000000000001,"подача гранул","предел скорости")</f>
        <v/>
      </c>
      <c r="H31" s="9">
        <f>IF(H30&lt;H26-0.000000000001,"подача гранул","предел скорости")</f>
        <v/>
      </c>
      <c r="I31" s="9">
        <f>IF(I30&lt;I26-0.000000000001,"подача гранул","предел скорости")</f>
        <v/>
      </c>
      <c r="J31" s="9">
        <f>IF(J30&lt;J26-0.000000000001,"подача гранул","предел скорости")</f>
        <v/>
      </c>
      <c r="K31" s="9">
        <f>IF(K30&lt;K26-0.000000000001,"подача гранул","предел скорости")</f>
        <v/>
      </c>
      <c r="L31" s="9">
        <f>IF(L30&lt;L26-0.000000000001,"подача гранул","предел скорости")</f>
        <v/>
      </c>
      <c r="M31" s="9">
        <f>IF(M30&lt;M26-0.000000000001,"подача гранул","предел скорости")</f>
        <v/>
      </c>
      <c r="N31" s="9">
        <f>IF(N30&lt;N26-0.000000000001,"подача гранул","предел скорости")</f>
        <v/>
      </c>
      <c r="O31" s="9">
        <f>IF(O30&lt;O26-0.000000000001,"подача гранул","предел скорости")</f>
        <v/>
      </c>
      <c r="P31" s="9">
        <f>IF(P30&lt;P26-0.000000000001,"подача гранул","предел скорости")</f>
        <v/>
      </c>
      <c r="Q31" s="9">
        <f>IF(Q30&lt;Q26-0.000000000001,"подача гранул","предел скорости")</f>
        <v/>
      </c>
      <c r="R31" s="9">
        <f>IF(R30&lt;R26-0.000000000001,"подача гранул","предел скорости")</f>
        <v/>
      </c>
      <c r="S31" s="9">
        <f>IF(S30&lt;S26-0.000000000001,"подача гранул","предел скорости")</f>
        <v/>
      </c>
      <c r="T31" s="9">
        <f>IF(T30&lt;T26-0.000000000001,"подача гранул","предел скорости")</f>
        <v/>
      </c>
      <c r="U31" s="9">
        <f>IF(U30&lt;U26-0.000000000001,"подача гранул","предел скорости")</f>
        <v/>
      </c>
      <c r="V31" s="9">
        <f>IF(V30&lt;V26-0.000000000001,"подача гранул","предел скорости")</f>
        <v/>
      </c>
      <c r="W31" s="9">
        <f>IF(W30&lt;W26-0.000000000001,"подача гранул","предел скорости")</f>
        <v/>
      </c>
      <c r="X31" s="9">
        <f>IF(X30&lt;X26-0.000000000001,"подача гранул","предел скорости")</f>
        <v/>
      </c>
      <c r="Y31" s="9">
        <f>IF(Y30&lt;Y26-0.000000000001,"подача гранул","предел скорости")</f>
        <v/>
      </c>
      <c r="Z31" s="9">
        <f>IF(Z30&lt;Z26-0.000000000001,"подача гранул","предел скорости")</f>
        <v/>
      </c>
      <c r="AA31" s="9">
        <f>IF(AA30&lt;AA26-0.000000000001,"подача гранул","предел скорости")</f>
        <v/>
      </c>
      <c r="AB31" s="9">
        <f>IF(AB30&lt;AB26-0.000000000001,"подача гранул","предел скорости")</f>
        <v/>
      </c>
      <c r="AC31" s="9">
        <f>IF(AC30&lt;AC26-0.000000000001,"подача гранул","предел скорости")</f>
        <v/>
      </c>
      <c r="AD31" s="9">
        <f>IF(AD30&lt;AD26-0.000000000001,"подача гранул","предел скорости")</f>
        <v/>
      </c>
      <c r="AE31" s="9">
        <f>IF(AE30&lt;AE26-0.000000000001,"подача гранул","предел скорости")</f>
        <v/>
      </c>
      <c r="AF31" s="9">
        <f>IF(AF30&lt;AF26-0.000000000001,"подача гранул","предел скорости")</f>
        <v/>
      </c>
      <c r="AG31" s="9">
        <f>IF(AG30&lt;AG26-0.000000000001,"подача гранул","предел скорости")</f>
        <v/>
      </c>
      <c r="AH31" s="9">
        <f>IF(AH30&lt;AH26-0.000000000001,"подача гранул","предел скорости")</f>
        <v/>
      </c>
      <c r="AI31" s="9">
        <f>IF(AI30&lt;AI26-0.000000000001,"подача гранул","предел скорости")</f>
        <v/>
      </c>
    </row>
    <row r="32">
      <c r="A32" t="inlineStr">
        <is>
          <t>Время разбрасывания на гектар (без накладных)</t>
        </is>
      </c>
      <c r="B32" t="inlineStr">
        <is>
          <t>мин</t>
        </is>
      </c>
      <c r="C32" s="9">
        <f>10000/(C25*C30)/60</f>
        <v/>
      </c>
      <c r="D32" s="9">
        <f>10000/(D25*D30)/60</f>
        <v/>
      </c>
      <c r="E32" s="9">
        <f>10000/(E25*E30)/60</f>
        <v/>
      </c>
      <c r="F32" s="9">
        <f>10000/(F25*F30)/60</f>
        <v/>
      </c>
      <c r="G32" s="9">
        <f>10000/(G25*G30)/60</f>
        <v/>
      </c>
      <c r="H32" s="9">
        <f>10000/(H25*H30)/60</f>
        <v/>
      </c>
      <c r="I32" s="9">
        <f>10000/(I25*I30)/60</f>
        <v/>
      </c>
      <c r="J32" s="9">
        <f>10000/(J25*J30)/60</f>
        <v/>
      </c>
      <c r="K32" s="9">
        <f>10000/(K25*K30)/60</f>
        <v/>
      </c>
      <c r="L32" s="9">
        <f>10000/(L25*L30)/60</f>
        <v/>
      </c>
      <c r="M32" s="9">
        <f>10000/(M25*M30)/60</f>
        <v/>
      </c>
      <c r="N32" s="9">
        <f>10000/(N25*N30)/60</f>
        <v/>
      </c>
      <c r="O32" s="9">
        <f>10000/(O25*O30)/60</f>
        <v/>
      </c>
      <c r="P32" s="9">
        <f>10000/(P25*P30)/60</f>
        <v/>
      </c>
      <c r="Q32" s="9">
        <f>10000/(Q25*Q30)/60</f>
        <v/>
      </c>
      <c r="R32" s="9">
        <f>10000/(R25*R30)/60</f>
        <v/>
      </c>
      <c r="S32" s="9">
        <f>10000/(S25*S30)/60</f>
        <v/>
      </c>
      <c r="T32" s="9">
        <f>10000/(T25*T30)/60</f>
        <v/>
      </c>
      <c r="U32" s="9">
        <f>10000/(U25*U30)/60</f>
        <v/>
      </c>
      <c r="V32" s="9">
        <f>10000/(V25*V30)/60</f>
        <v/>
      </c>
      <c r="W32" s="9">
        <f>10000/(W25*W30)/60</f>
        <v/>
      </c>
      <c r="X32" s="9">
        <f>10000/(X25*X30)/60</f>
        <v/>
      </c>
      <c r="Y32" s="9">
        <f>10000/(Y25*Y30)/60</f>
        <v/>
      </c>
      <c r="Z32" s="9">
        <f>10000/(Z25*Z30)/60</f>
        <v/>
      </c>
      <c r="AA32" s="9">
        <f>10000/(AA25*AA30)/60</f>
        <v/>
      </c>
      <c r="AB32" s="9">
        <f>10000/(AB25*AB30)/60</f>
        <v/>
      </c>
      <c r="AC32" s="9">
        <f>10000/(AC25*AC30)/60</f>
        <v/>
      </c>
      <c r="AD32" s="9">
        <f>10000/(AD25*AD30)/60</f>
        <v/>
      </c>
      <c r="AE32" s="9">
        <f>10000/(AE25*AE30)/60</f>
        <v/>
      </c>
      <c r="AF32" s="9">
        <f>10000/(AF25*AF30)/60</f>
        <v/>
      </c>
      <c r="AG32" s="9">
        <f>10000/(AG25*AG30)/60</f>
        <v/>
      </c>
      <c r="AH32" s="9">
        <f>10000/(AH25*AH30)/60</f>
        <v/>
      </c>
      <c r="AI32" s="9">
        <f>10000/(AI25*AI30)/60</f>
        <v/>
      </c>
    </row>
    <row r="33">
      <c r="A33" t="inlineStr">
        <is>
          <t>Время разбрасывания за вылет (вес бака или предел батареи)</t>
        </is>
      </c>
      <c r="B33" t="inlineStr">
        <is>
          <t>мин</t>
        </is>
      </c>
      <c r="C33" s="9">
        <f>MIN(C29*C32,max_flight_min-C19)</f>
        <v/>
      </c>
      <c r="D33" s="9">
        <f>MIN(D29*D32,max_flight_min-D19)</f>
        <v/>
      </c>
      <c r="E33" s="9">
        <f>MIN(E29*E32,max_flight_min-E19)</f>
        <v/>
      </c>
      <c r="F33" s="9">
        <f>MIN(F29*F32,max_flight_min-F19)</f>
        <v/>
      </c>
      <c r="G33" s="9">
        <f>MIN(G29*G32,max_flight_min-G19)</f>
        <v/>
      </c>
      <c r="H33" s="9">
        <f>MIN(H29*H32,max_flight_min-H19)</f>
        <v/>
      </c>
      <c r="I33" s="9">
        <f>MIN(I29*I32,max_flight_min-I19)</f>
        <v/>
      </c>
      <c r="J33" s="9">
        <f>MIN(J29*J32,max_flight_min-J19)</f>
        <v/>
      </c>
      <c r="K33" s="9">
        <f>MIN(K29*K32,max_flight_min-K19)</f>
        <v/>
      </c>
      <c r="L33" s="9">
        <f>MIN(L29*L32,max_flight_min-L19)</f>
        <v/>
      </c>
      <c r="M33" s="9">
        <f>MIN(M29*M32,max_flight_min-M19)</f>
        <v/>
      </c>
      <c r="N33" s="9">
        <f>MIN(N29*N32,max_flight_min-N19)</f>
        <v/>
      </c>
      <c r="O33" s="9">
        <f>MIN(O29*O32,max_flight_min-O19)</f>
        <v/>
      </c>
      <c r="P33" s="9">
        <f>MIN(P29*P32,max_flight_min-P19)</f>
        <v/>
      </c>
      <c r="Q33" s="9">
        <f>MIN(Q29*Q32,max_flight_min-Q19)</f>
        <v/>
      </c>
      <c r="R33" s="9">
        <f>MIN(R29*R32,max_flight_min-R19)</f>
        <v/>
      </c>
      <c r="S33" s="9">
        <f>MIN(S29*S32,max_flight_min-S19)</f>
        <v/>
      </c>
      <c r="T33" s="9">
        <f>MIN(T29*T32,max_flight_min-T19)</f>
        <v/>
      </c>
      <c r="U33" s="9">
        <f>MIN(U29*U32,max_flight_min-U19)</f>
        <v/>
      </c>
      <c r="V33" s="9">
        <f>MIN(V29*V32,max_flight_min-V19)</f>
        <v/>
      </c>
      <c r="W33" s="9">
        <f>MIN(W29*W32,max_flight_min-W19)</f>
        <v/>
      </c>
      <c r="X33" s="9">
        <f>MIN(X29*X32,max_flight_min-X19)</f>
        <v/>
      </c>
      <c r="Y33" s="9">
        <f>MIN(Y29*Y32,max_flight_min-Y19)</f>
        <v/>
      </c>
      <c r="Z33" s="9">
        <f>MIN(Z29*Z32,max_flight_min-Z19)</f>
        <v/>
      </c>
      <c r="AA33" s="9">
        <f>MIN(AA29*AA32,max_flight_min-AA19)</f>
        <v/>
      </c>
      <c r="AB33" s="9">
        <f>MIN(AB29*AB32,max_flight_min-AB19)</f>
        <v/>
      </c>
      <c r="AC33" s="9">
        <f>MIN(AC29*AC32,max_flight_min-AC19)</f>
        <v/>
      </c>
      <c r="AD33" s="9">
        <f>MIN(AD29*AD32,max_flight_min-AD19)</f>
        <v/>
      </c>
      <c r="AE33" s="9">
        <f>MIN(AE29*AE32,max_flight_min-AE19)</f>
        <v/>
      </c>
      <c r="AF33" s="9">
        <f>MIN(AF29*AF32,max_flight_min-AF19)</f>
        <v/>
      </c>
      <c r="AG33" s="9">
        <f>MIN(AG29*AG32,max_flight_min-AG19)</f>
        <v/>
      </c>
      <c r="AH33" s="9">
        <f>MIN(AH29*AH32,max_flight_min-AH19)</f>
        <v/>
      </c>
      <c r="AI33" s="9">
        <f>MIN(AI29*AI32,max_flight_min-AI19)</f>
        <v/>
      </c>
    </row>
    <row r="34">
      <c r="A34" t="inlineStr">
        <is>
          <t>Гектаров за вылет</t>
        </is>
      </c>
      <c r="B34" t="inlineStr">
        <is>
          <t>га</t>
        </is>
      </c>
      <c r="C34" s="9">
        <f>C33/C32</f>
        <v/>
      </c>
      <c r="D34" s="9">
        <f>D33/D32</f>
        <v/>
      </c>
      <c r="E34" s="9">
        <f>E33/E32</f>
        <v/>
      </c>
      <c r="F34" s="9">
        <f>F33/F32</f>
        <v/>
      </c>
      <c r="G34" s="9">
        <f>G33/G32</f>
        <v/>
      </c>
      <c r="H34" s="9">
        <f>H33/H32</f>
        <v/>
      </c>
      <c r="I34" s="9">
        <f>I33/I32</f>
        <v/>
      </c>
      <c r="J34" s="9">
        <f>J33/J32</f>
        <v/>
      </c>
      <c r="K34" s="9">
        <f>K33/K32</f>
        <v/>
      </c>
      <c r="L34" s="9">
        <f>L33/L32</f>
        <v/>
      </c>
      <c r="M34" s="9">
        <f>M33/M32</f>
        <v/>
      </c>
      <c r="N34" s="9">
        <f>N33/N32</f>
        <v/>
      </c>
      <c r="O34" s="9">
        <f>O33/O32</f>
        <v/>
      </c>
      <c r="P34" s="9">
        <f>P33/P32</f>
        <v/>
      </c>
      <c r="Q34" s="9">
        <f>Q33/Q32</f>
        <v/>
      </c>
      <c r="R34" s="9">
        <f>R33/R32</f>
        <v/>
      </c>
      <c r="S34" s="9">
        <f>S33/S32</f>
        <v/>
      </c>
      <c r="T34" s="9">
        <f>T33/T32</f>
        <v/>
      </c>
      <c r="U34" s="9">
        <f>U33/U32</f>
        <v/>
      </c>
      <c r="V34" s="9">
        <f>V33/V32</f>
        <v/>
      </c>
      <c r="W34" s="9">
        <f>W33/W32</f>
        <v/>
      </c>
      <c r="X34" s="9">
        <f>X33/X32</f>
        <v/>
      </c>
      <c r="Y34" s="9">
        <f>Y33/Y32</f>
        <v/>
      </c>
      <c r="Z34" s="9">
        <f>Z33/Z32</f>
        <v/>
      </c>
      <c r="AA34" s="9">
        <f>AA33/AA32</f>
        <v/>
      </c>
      <c r="AB34" s="9">
        <f>AB33/AB32</f>
        <v/>
      </c>
      <c r="AC34" s="9">
        <f>AC33/AC32</f>
        <v/>
      </c>
      <c r="AD34" s="9">
        <f>AD33/AD32</f>
        <v/>
      </c>
      <c r="AE34" s="9">
        <f>AE33/AE32</f>
        <v/>
      </c>
      <c r="AF34" s="9">
        <f>AF33/AF32</f>
        <v/>
      </c>
      <c r="AG34" s="9">
        <f>AG33/AG32</f>
        <v/>
      </c>
      <c r="AH34" s="9">
        <f>AH33/AH32</f>
        <v/>
      </c>
      <c r="AI34" s="9">
        <f>AI33/AI32</f>
        <v/>
      </c>
    </row>
    <row r="35">
      <c r="A35" t="inlineStr">
        <is>
          <t>Вылетов на гектар</t>
        </is>
      </c>
      <c r="B35" t="inlineStr">
        <is>
          <t>шт</t>
        </is>
      </c>
      <c r="C35" s="9">
        <f>1/C34</f>
        <v/>
      </c>
      <c r="D35" s="9">
        <f>1/D34</f>
        <v/>
      </c>
      <c r="E35" s="9">
        <f>1/E34</f>
        <v/>
      </c>
      <c r="F35" s="9">
        <f>1/F34</f>
        <v/>
      </c>
      <c r="G35" s="9">
        <f>1/G34</f>
        <v/>
      </c>
      <c r="H35" s="9">
        <f>1/H34</f>
        <v/>
      </c>
      <c r="I35" s="9">
        <f>1/I34</f>
        <v/>
      </c>
      <c r="J35" s="9">
        <f>1/J34</f>
        <v/>
      </c>
      <c r="K35" s="9">
        <f>1/K34</f>
        <v/>
      </c>
      <c r="L35" s="9">
        <f>1/L34</f>
        <v/>
      </c>
      <c r="M35" s="9">
        <f>1/M34</f>
        <v/>
      </c>
      <c r="N35" s="9">
        <f>1/N34</f>
        <v/>
      </c>
      <c r="O35" s="9">
        <f>1/O34</f>
        <v/>
      </c>
      <c r="P35" s="9">
        <f>1/P34</f>
        <v/>
      </c>
      <c r="Q35" s="9">
        <f>1/Q34</f>
        <v/>
      </c>
      <c r="R35" s="9">
        <f>1/R34</f>
        <v/>
      </c>
      <c r="S35" s="9">
        <f>1/S34</f>
        <v/>
      </c>
      <c r="T35" s="9">
        <f>1/T34</f>
        <v/>
      </c>
      <c r="U35" s="9">
        <f>1/U34</f>
        <v/>
      </c>
      <c r="V35" s="9">
        <f>1/V34</f>
        <v/>
      </c>
      <c r="W35" s="9">
        <f>1/W34</f>
        <v/>
      </c>
      <c r="X35" s="9">
        <f>1/X34</f>
        <v/>
      </c>
      <c r="Y35" s="9">
        <f>1/Y34</f>
        <v/>
      </c>
      <c r="Z35" s="9">
        <f>1/Z34</f>
        <v/>
      </c>
      <c r="AA35" s="9">
        <f>1/AA34</f>
        <v/>
      </c>
      <c r="AB35" s="9">
        <f>1/AB34</f>
        <v/>
      </c>
      <c r="AC35" s="9">
        <f>1/AC34</f>
        <v/>
      </c>
      <c r="AD35" s="9">
        <f>1/AD34</f>
        <v/>
      </c>
      <c r="AE35" s="9">
        <f>1/AE34</f>
        <v/>
      </c>
      <c r="AF35" s="9">
        <f>1/AF34</f>
        <v/>
      </c>
      <c r="AG35" s="9">
        <f>1/AG34</f>
        <v/>
      </c>
      <c r="AH35" s="9">
        <f>1/AH34</f>
        <v/>
      </c>
      <c r="AI35" s="9">
        <f>1/AI34</f>
        <v/>
      </c>
    </row>
    <row r="36">
      <c r="A36" t="inlineStr">
        <is>
          <t>Внесено за вылет</t>
        </is>
      </c>
      <c r="B36" t="inlineStr">
        <is>
          <t>кг</t>
        </is>
      </c>
      <c r="C36" s="9">
        <f>C2*C34</f>
        <v/>
      </c>
      <c r="D36" s="9">
        <f>D2*D34</f>
        <v/>
      </c>
      <c r="E36" s="9">
        <f>E2*E34</f>
        <v/>
      </c>
      <c r="F36" s="9">
        <f>F2*F34</f>
        <v/>
      </c>
      <c r="G36" s="9">
        <f>G2*G34</f>
        <v/>
      </c>
      <c r="H36" s="9">
        <f>H2*H34</f>
        <v/>
      </c>
      <c r="I36" s="9">
        <f>I2*I34</f>
        <v/>
      </c>
      <c r="J36" s="9">
        <f>J2*J34</f>
        <v/>
      </c>
      <c r="K36" s="9">
        <f>K2*K34</f>
        <v/>
      </c>
      <c r="L36" s="9">
        <f>L2*L34</f>
        <v/>
      </c>
      <c r="M36" s="9">
        <f>M2*M34</f>
        <v/>
      </c>
      <c r="N36" s="9">
        <f>N2*N34</f>
        <v/>
      </c>
      <c r="O36" s="9">
        <f>O2*O34</f>
        <v/>
      </c>
      <c r="P36" s="9">
        <f>P2*P34</f>
        <v/>
      </c>
      <c r="Q36" s="9">
        <f>Q2*Q34</f>
        <v/>
      </c>
      <c r="R36" s="9">
        <f>R2*R34</f>
        <v/>
      </c>
      <c r="S36" s="9">
        <f>S2*S34</f>
        <v/>
      </c>
      <c r="T36" s="9">
        <f>T2*T34</f>
        <v/>
      </c>
      <c r="U36" s="9">
        <f>U2*U34</f>
        <v/>
      </c>
      <c r="V36" s="9">
        <f>V2*V34</f>
        <v/>
      </c>
      <c r="W36" s="9">
        <f>W2*W34</f>
        <v/>
      </c>
      <c r="X36" s="9">
        <f>X2*X34</f>
        <v/>
      </c>
      <c r="Y36" s="9">
        <f>Y2*Y34</f>
        <v/>
      </c>
      <c r="Z36" s="9">
        <f>Z2*Z34</f>
        <v/>
      </c>
      <c r="AA36" s="9">
        <f>AA2*AA34</f>
        <v/>
      </c>
      <c r="AB36" s="9">
        <f>AB2*AB34</f>
        <v/>
      </c>
      <c r="AC36" s="9">
        <f>AC2*AC34</f>
        <v/>
      </c>
      <c r="AD36" s="9">
        <f>AD2*AD34</f>
        <v/>
      </c>
      <c r="AE36" s="9">
        <f>AE2*AE34</f>
        <v/>
      </c>
      <c r="AF36" s="9">
        <f>AF2*AF34</f>
        <v/>
      </c>
      <c r="AG36" s="9">
        <f>AG2*AG34</f>
        <v/>
      </c>
      <c r="AH36" s="9">
        <f>AH2*AH34</f>
        <v/>
      </c>
      <c r="AI36" s="9">
        <f>AI2*AI34</f>
        <v/>
      </c>
    </row>
    <row r="37">
      <c r="A37" t="inlineStr">
        <is>
          <t>Длительность вылета</t>
        </is>
      </c>
      <c r="B37" t="inlineStr">
        <is>
          <t>мин</t>
        </is>
      </c>
      <c r="C37" s="9">
        <f>C33+C19</f>
        <v/>
      </c>
      <c r="D37" s="9">
        <f>D33+D19</f>
        <v/>
      </c>
      <c r="E37" s="9">
        <f>E33+E19</f>
        <v/>
      </c>
      <c r="F37" s="9">
        <f>F33+F19</f>
        <v/>
      </c>
      <c r="G37" s="9">
        <f>G33+G19</f>
        <v/>
      </c>
      <c r="H37" s="9">
        <f>H33+H19</f>
        <v/>
      </c>
      <c r="I37" s="9">
        <f>I33+I19</f>
        <v/>
      </c>
      <c r="J37" s="9">
        <f>J33+J19</f>
        <v/>
      </c>
      <c r="K37" s="9">
        <f>K33+K19</f>
        <v/>
      </c>
      <c r="L37" s="9">
        <f>L33+L19</f>
        <v/>
      </c>
      <c r="M37" s="9">
        <f>M33+M19</f>
        <v/>
      </c>
      <c r="N37" s="9">
        <f>N33+N19</f>
        <v/>
      </c>
      <c r="O37" s="9">
        <f>O33+O19</f>
        <v/>
      </c>
      <c r="P37" s="9">
        <f>P33+P19</f>
        <v/>
      </c>
      <c r="Q37" s="9">
        <f>Q33+Q19</f>
        <v/>
      </c>
      <c r="R37" s="9">
        <f>R33+R19</f>
        <v/>
      </c>
      <c r="S37" s="9">
        <f>S33+S19</f>
        <v/>
      </c>
      <c r="T37" s="9">
        <f>T33+T19</f>
        <v/>
      </c>
      <c r="U37" s="9">
        <f>U33+U19</f>
        <v/>
      </c>
      <c r="V37" s="9">
        <f>V33+V19</f>
        <v/>
      </c>
      <c r="W37" s="9">
        <f>W33+W19</f>
        <v/>
      </c>
      <c r="X37" s="9">
        <f>X33+X19</f>
        <v/>
      </c>
      <c r="Y37" s="9">
        <f>Y33+Y19</f>
        <v/>
      </c>
      <c r="Z37" s="9">
        <f>Z33+Z19</f>
        <v/>
      </c>
      <c r="AA37" s="9">
        <f>AA33+AA19</f>
        <v/>
      </c>
      <c r="AB37" s="9">
        <f>AB33+AB19</f>
        <v/>
      </c>
      <c r="AC37" s="9">
        <f>AC33+AC19</f>
        <v/>
      </c>
      <c r="AD37" s="9">
        <f>AD33+AD19</f>
        <v/>
      </c>
      <c r="AE37" s="9">
        <f>AE33+AE19</f>
        <v/>
      </c>
      <c r="AF37" s="9">
        <f>AF33+AF19</f>
        <v/>
      </c>
      <c r="AG37" s="9">
        <f>AG33+AG19</f>
        <v/>
      </c>
      <c r="AH37" s="9">
        <f>AH33+AH19</f>
        <v/>
      </c>
      <c r="AI37" s="9">
        <f>AI33+AI19</f>
        <v/>
      </c>
    </row>
    <row r="38">
      <c r="A38" t="inlineStr">
        <is>
          <t>Полный цикл (вылет + загрузка)</t>
        </is>
      </c>
      <c r="B38" t="inlineStr">
        <is>
          <t>мин</t>
        </is>
      </c>
      <c r="C38" s="9">
        <f>C37+C18</f>
        <v/>
      </c>
      <c r="D38" s="9">
        <f>D37+D18</f>
        <v/>
      </c>
      <c r="E38" s="9">
        <f>E37+E18</f>
        <v/>
      </c>
      <c r="F38" s="9">
        <f>F37+F18</f>
        <v/>
      </c>
      <c r="G38" s="9">
        <f>G37+G18</f>
        <v/>
      </c>
      <c r="H38" s="9">
        <f>H37+H18</f>
        <v/>
      </c>
      <c r="I38" s="9">
        <f>I37+I18</f>
        <v/>
      </c>
      <c r="J38" s="9">
        <f>J37+J18</f>
        <v/>
      </c>
      <c r="K38" s="9">
        <f>K37+K18</f>
        <v/>
      </c>
      <c r="L38" s="9">
        <f>L37+L18</f>
        <v/>
      </c>
      <c r="M38" s="9">
        <f>M37+M18</f>
        <v/>
      </c>
      <c r="N38" s="9">
        <f>N37+N18</f>
        <v/>
      </c>
      <c r="O38" s="9">
        <f>O37+O18</f>
        <v/>
      </c>
      <c r="P38" s="9">
        <f>P37+P18</f>
        <v/>
      </c>
      <c r="Q38" s="9">
        <f>Q37+Q18</f>
        <v/>
      </c>
      <c r="R38" s="9">
        <f>R37+R18</f>
        <v/>
      </c>
      <c r="S38" s="9">
        <f>S37+S18</f>
        <v/>
      </c>
      <c r="T38" s="9">
        <f>T37+T18</f>
        <v/>
      </c>
      <c r="U38" s="9">
        <f>U37+U18</f>
        <v/>
      </c>
      <c r="V38" s="9">
        <f>V37+V18</f>
        <v/>
      </c>
      <c r="W38" s="9">
        <f>W37+W18</f>
        <v/>
      </c>
      <c r="X38" s="9">
        <f>X37+X18</f>
        <v/>
      </c>
      <c r="Y38" s="9">
        <f>Y37+Y18</f>
        <v/>
      </c>
      <c r="Z38" s="9">
        <f>Z37+Z18</f>
        <v/>
      </c>
      <c r="AA38" s="9">
        <f>AA37+AA18</f>
        <v/>
      </c>
      <c r="AB38" s="9">
        <f>AB37+AB18</f>
        <v/>
      </c>
      <c r="AC38" s="9">
        <f>AC37+AC18</f>
        <v/>
      </c>
      <c r="AD38" s="9">
        <f>AD37+AD18</f>
        <v/>
      </c>
      <c r="AE38" s="9">
        <f>AE37+AE18</f>
        <v/>
      </c>
      <c r="AF38" s="9">
        <f>AF37+AF18</f>
        <v/>
      </c>
      <c r="AG38" s="9">
        <f>AG37+AG18</f>
        <v/>
      </c>
      <c r="AH38" s="9">
        <f>AH37+AH18</f>
        <v/>
      </c>
      <c r="AI38" s="9">
        <f>AI37+AI18</f>
        <v/>
      </c>
    </row>
    <row r="39">
      <c r="A39" t="inlineStr">
        <is>
          <t>Вылетов в час</t>
        </is>
      </c>
      <c r="B39" t="inlineStr">
        <is>
          <t>шт</t>
        </is>
      </c>
      <c r="C39" s="9">
        <f>60/C38</f>
        <v/>
      </c>
      <c r="D39" s="9">
        <f>60/D38</f>
        <v/>
      </c>
      <c r="E39" s="9">
        <f>60/E38</f>
        <v/>
      </c>
      <c r="F39" s="9">
        <f>60/F38</f>
        <v/>
      </c>
      <c r="G39" s="9">
        <f>60/G38</f>
        <v/>
      </c>
      <c r="H39" s="9">
        <f>60/H38</f>
        <v/>
      </c>
      <c r="I39" s="9">
        <f>60/I38</f>
        <v/>
      </c>
      <c r="J39" s="9">
        <f>60/J38</f>
        <v/>
      </c>
      <c r="K39" s="9">
        <f>60/K38</f>
        <v/>
      </c>
      <c r="L39" s="9">
        <f>60/L38</f>
        <v/>
      </c>
      <c r="M39" s="9">
        <f>60/M38</f>
        <v/>
      </c>
      <c r="N39" s="9">
        <f>60/N38</f>
        <v/>
      </c>
      <c r="O39" s="9">
        <f>60/O38</f>
        <v/>
      </c>
      <c r="P39" s="9">
        <f>60/P38</f>
        <v/>
      </c>
      <c r="Q39" s="9">
        <f>60/Q38</f>
        <v/>
      </c>
      <c r="R39" s="9">
        <f>60/R38</f>
        <v/>
      </c>
      <c r="S39" s="9">
        <f>60/S38</f>
        <v/>
      </c>
      <c r="T39" s="9">
        <f>60/T38</f>
        <v/>
      </c>
      <c r="U39" s="9">
        <f>60/U38</f>
        <v/>
      </c>
      <c r="V39" s="9">
        <f>60/V38</f>
        <v/>
      </c>
      <c r="W39" s="9">
        <f>60/W38</f>
        <v/>
      </c>
      <c r="X39" s="9">
        <f>60/X38</f>
        <v/>
      </c>
      <c r="Y39" s="9">
        <f>60/Y38</f>
        <v/>
      </c>
      <c r="Z39" s="9">
        <f>60/Z38</f>
        <v/>
      </c>
      <c r="AA39" s="9">
        <f>60/AA38</f>
        <v/>
      </c>
      <c r="AB39" s="9">
        <f>60/AB38</f>
        <v/>
      </c>
      <c r="AC39" s="9">
        <f>60/AC38</f>
        <v/>
      </c>
      <c r="AD39" s="9">
        <f>60/AD38</f>
        <v/>
      </c>
      <c r="AE39" s="9">
        <f>60/AE38</f>
        <v/>
      </c>
      <c r="AF39" s="9">
        <f>60/AF38</f>
        <v/>
      </c>
      <c r="AG39" s="9">
        <f>60/AG38</f>
        <v/>
      </c>
      <c r="AH39" s="9">
        <f>60/AH38</f>
        <v/>
      </c>
      <c r="AI39" s="9">
        <f>60/AI38</f>
        <v/>
      </c>
    </row>
    <row r="40">
      <c r="A40" t="inlineStr">
        <is>
          <t>Внесено удобрений в час</t>
        </is>
      </c>
      <c r="B40" t="inlineStr">
        <is>
          <t>кг</t>
        </is>
      </c>
      <c r="C40" s="9">
        <f>C39*C36</f>
        <v/>
      </c>
      <c r="D40" s="9">
        <f>D39*D36</f>
        <v/>
      </c>
      <c r="E40" s="9">
        <f>E39*E36</f>
        <v/>
      </c>
      <c r="F40" s="9">
        <f>F39*F36</f>
        <v/>
      </c>
      <c r="G40" s="9">
        <f>G39*G36</f>
        <v/>
      </c>
      <c r="H40" s="9">
        <f>H39*H36</f>
        <v/>
      </c>
      <c r="I40" s="9">
        <f>I39*I36</f>
        <v/>
      </c>
      <c r="J40" s="9">
        <f>J39*J36</f>
        <v/>
      </c>
      <c r="K40" s="9">
        <f>K39*K36</f>
        <v/>
      </c>
      <c r="L40" s="9">
        <f>L39*L36</f>
        <v/>
      </c>
      <c r="M40" s="9">
        <f>M39*M36</f>
        <v/>
      </c>
      <c r="N40" s="9">
        <f>N39*N36</f>
        <v/>
      </c>
      <c r="O40" s="9">
        <f>O39*O36</f>
        <v/>
      </c>
      <c r="P40" s="9">
        <f>P39*P36</f>
        <v/>
      </c>
      <c r="Q40" s="9">
        <f>Q39*Q36</f>
        <v/>
      </c>
      <c r="R40" s="9">
        <f>R39*R36</f>
        <v/>
      </c>
      <c r="S40" s="9">
        <f>S39*S36</f>
        <v/>
      </c>
      <c r="T40" s="9">
        <f>T39*T36</f>
        <v/>
      </c>
      <c r="U40" s="9">
        <f>U39*U36</f>
        <v/>
      </c>
      <c r="V40" s="9">
        <f>V39*V36</f>
        <v/>
      </c>
      <c r="W40" s="9">
        <f>W39*W36</f>
        <v/>
      </c>
      <c r="X40" s="9">
        <f>X39*X36</f>
        <v/>
      </c>
      <c r="Y40" s="9">
        <f>Y39*Y36</f>
        <v/>
      </c>
      <c r="Z40" s="9">
        <f>Z39*Z36</f>
        <v/>
      </c>
      <c r="AA40" s="9">
        <f>AA39*AA36</f>
        <v/>
      </c>
      <c r="AB40" s="9">
        <f>AB39*AB36</f>
        <v/>
      </c>
      <c r="AC40" s="9">
        <f>AC39*AC36</f>
        <v/>
      </c>
      <c r="AD40" s="9">
        <f>AD39*AD36</f>
        <v/>
      </c>
      <c r="AE40" s="9">
        <f>AE39*AE36</f>
        <v/>
      </c>
      <c r="AF40" s="9">
        <f>AF39*AF36</f>
        <v/>
      </c>
      <c r="AG40" s="9">
        <f>AG39*AG36</f>
        <v/>
      </c>
      <c r="AH40" s="9">
        <f>AH39*AH36</f>
        <v/>
      </c>
      <c r="AI40" s="9">
        <f>AI39*AI36</f>
        <v/>
      </c>
    </row>
    <row r="41">
      <c r="A41" t="inlineStr">
        <is>
          <t>Гектаров в час</t>
        </is>
      </c>
      <c r="B41" t="inlineStr">
        <is>
          <t>га</t>
        </is>
      </c>
      <c r="C41" s="9">
        <f>C39*C34</f>
        <v/>
      </c>
      <c r="D41" s="9">
        <f>D39*D34</f>
        <v/>
      </c>
      <c r="E41" s="9">
        <f>E39*E34</f>
        <v/>
      </c>
      <c r="F41" s="9">
        <f>F39*F34</f>
        <v/>
      </c>
      <c r="G41" s="9">
        <f>G39*G34</f>
        <v/>
      </c>
      <c r="H41" s="9">
        <f>H39*H34</f>
        <v/>
      </c>
      <c r="I41" s="9">
        <f>I39*I34</f>
        <v/>
      </c>
      <c r="J41" s="9">
        <f>J39*J34</f>
        <v/>
      </c>
      <c r="K41" s="9">
        <f>K39*K34</f>
        <v/>
      </c>
      <c r="L41" s="9">
        <f>L39*L34</f>
        <v/>
      </c>
      <c r="M41" s="9">
        <f>M39*M34</f>
        <v/>
      </c>
      <c r="N41" s="9">
        <f>N39*N34</f>
        <v/>
      </c>
      <c r="O41" s="9">
        <f>O39*O34</f>
        <v/>
      </c>
      <c r="P41" s="9">
        <f>P39*P34</f>
        <v/>
      </c>
      <c r="Q41" s="9">
        <f>Q39*Q34</f>
        <v/>
      </c>
      <c r="R41" s="9">
        <f>R39*R34</f>
        <v/>
      </c>
      <c r="S41" s="9">
        <f>S39*S34</f>
        <v/>
      </c>
      <c r="T41" s="9">
        <f>T39*T34</f>
        <v/>
      </c>
      <c r="U41" s="9">
        <f>U39*U34</f>
        <v/>
      </c>
      <c r="V41" s="9">
        <f>V39*V34</f>
        <v/>
      </c>
      <c r="W41" s="9">
        <f>W39*W34</f>
        <v/>
      </c>
      <c r="X41" s="9">
        <f>X39*X34</f>
        <v/>
      </c>
      <c r="Y41" s="9">
        <f>Y39*Y34</f>
        <v/>
      </c>
      <c r="Z41" s="9">
        <f>Z39*Z34</f>
        <v/>
      </c>
      <c r="AA41" s="9">
        <f>AA39*AA34</f>
        <v/>
      </c>
      <c r="AB41" s="9">
        <f>AB39*AB34</f>
        <v/>
      </c>
      <c r="AC41" s="9">
        <f>AC39*AC34</f>
        <v/>
      </c>
      <c r="AD41" s="9">
        <f>AD39*AD34</f>
        <v/>
      </c>
      <c r="AE41" s="9">
        <f>AE39*AE34</f>
        <v/>
      </c>
      <c r="AF41" s="9">
        <f>AF39*AF34</f>
        <v/>
      </c>
      <c r="AG41" s="9">
        <f>AG39*AG34</f>
        <v/>
      </c>
      <c r="AH41" s="9">
        <f>AH39*AH34</f>
        <v/>
      </c>
      <c r="AI41" s="9">
        <f>AI39*AI34</f>
        <v/>
      </c>
    </row>
    <row r="42">
      <c r="A42" s="1" t="inlineStr">
        <is>
          <t>Гектаров за рабочий день</t>
        </is>
      </c>
      <c r="B42" t="inlineStr">
        <is>
          <t>га</t>
        </is>
      </c>
      <c r="C42" s="11">
        <f>C41*C17</f>
        <v/>
      </c>
      <c r="D42" s="11">
        <f>D41*D17</f>
        <v/>
      </c>
      <c r="E42" s="11">
        <f>E41*E17</f>
        <v/>
      </c>
      <c r="F42" s="11">
        <f>F41*F17</f>
        <v/>
      </c>
      <c r="G42" s="11">
        <f>G41*G17</f>
        <v/>
      </c>
      <c r="H42" s="11">
        <f>H41*H17</f>
        <v/>
      </c>
      <c r="I42" s="11">
        <f>I41*I17</f>
        <v/>
      </c>
      <c r="J42" s="11">
        <f>J41*J17</f>
        <v/>
      </c>
      <c r="K42" s="11">
        <f>K41*K17</f>
        <v/>
      </c>
      <c r="L42" s="11">
        <f>L41*L17</f>
        <v/>
      </c>
      <c r="M42" s="11">
        <f>M41*M17</f>
        <v/>
      </c>
      <c r="N42" s="11">
        <f>N41*N17</f>
        <v/>
      </c>
      <c r="O42" s="11">
        <f>O41*O17</f>
        <v/>
      </c>
      <c r="P42" s="11">
        <f>P41*P17</f>
        <v/>
      </c>
      <c r="Q42" s="11">
        <f>Q41*Q17</f>
        <v/>
      </c>
      <c r="R42" s="11">
        <f>R41*R17</f>
        <v/>
      </c>
      <c r="S42" s="11">
        <f>S41*S17</f>
        <v/>
      </c>
      <c r="T42" s="11">
        <f>T41*T17</f>
        <v/>
      </c>
      <c r="U42" s="11">
        <f>U41*U17</f>
        <v/>
      </c>
      <c r="V42" s="11">
        <f>V41*V17</f>
        <v/>
      </c>
      <c r="W42" s="11">
        <f>W41*W17</f>
        <v/>
      </c>
      <c r="X42" s="11">
        <f>X41*X17</f>
        <v/>
      </c>
      <c r="Y42" s="11">
        <f>Y41*Y17</f>
        <v/>
      </c>
      <c r="Z42" s="11">
        <f>Z41*Z17</f>
        <v/>
      </c>
      <c r="AA42" s="11">
        <f>AA41*AA17</f>
        <v/>
      </c>
      <c r="AB42" s="11">
        <f>AB41*AB17</f>
        <v/>
      </c>
      <c r="AC42" s="11">
        <f>AC41*AC17</f>
        <v/>
      </c>
      <c r="AD42" s="11">
        <f>AD41*AD17</f>
        <v/>
      </c>
      <c r="AE42" s="11">
        <f>AE41*AE17</f>
        <v/>
      </c>
      <c r="AF42" s="11">
        <f>AF41*AF17</f>
        <v/>
      </c>
      <c r="AG42" s="11">
        <f>AG41*AG17</f>
        <v/>
      </c>
      <c r="AH42" s="11">
        <f>AH41*AH17</f>
        <v/>
      </c>
      <c r="AI42" s="11">
        <f>AI41*AI17</f>
        <v/>
      </c>
    </row>
    <row r="43">
      <c r="A43" t="inlineStr">
        <is>
          <t>Вылетов за день</t>
        </is>
      </c>
      <c r="B43" t="inlineStr">
        <is>
          <t>шт</t>
        </is>
      </c>
      <c r="C43" s="9">
        <f>C39*C17</f>
        <v/>
      </c>
      <c r="D43" s="9">
        <f>D39*D17</f>
        <v/>
      </c>
      <c r="E43" s="9">
        <f>E39*E17</f>
        <v/>
      </c>
      <c r="F43" s="9">
        <f>F39*F17</f>
        <v/>
      </c>
      <c r="G43" s="9">
        <f>G39*G17</f>
        <v/>
      </c>
      <c r="H43" s="9">
        <f>H39*H17</f>
        <v/>
      </c>
      <c r="I43" s="9">
        <f>I39*I17</f>
        <v/>
      </c>
      <c r="J43" s="9">
        <f>J39*J17</f>
        <v/>
      </c>
      <c r="K43" s="9">
        <f>K39*K17</f>
        <v/>
      </c>
      <c r="L43" s="9">
        <f>L39*L17</f>
        <v/>
      </c>
      <c r="M43" s="9">
        <f>M39*M17</f>
        <v/>
      </c>
      <c r="N43" s="9">
        <f>N39*N17</f>
        <v/>
      </c>
      <c r="O43" s="9">
        <f>O39*O17</f>
        <v/>
      </c>
      <c r="P43" s="9">
        <f>P39*P17</f>
        <v/>
      </c>
      <c r="Q43" s="9">
        <f>Q39*Q17</f>
        <v/>
      </c>
      <c r="R43" s="9">
        <f>R39*R17</f>
        <v/>
      </c>
      <c r="S43" s="9">
        <f>S39*S17</f>
        <v/>
      </c>
      <c r="T43" s="9">
        <f>T39*T17</f>
        <v/>
      </c>
      <c r="U43" s="9">
        <f>U39*U17</f>
        <v/>
      </c>
      <c r="V43" s="9">
        <f>V39*V17</f>
        <v/>
      </c>
      <c r="W43" s="9">
        <f>W39*W17</f>
        <v/>
      </c>
      <c r="X43" s="9">
        <f>X39*X17</f>
        <v/>
      </c>
      <c r="Y43" s="9">
        <f>Y39*Y17</f>
        <v/>
      </c>
      <c r="Z43" s="9">
        <f>Z39*Z17</f>
        <v/>
      </c>
      <c r="AA43" s="9">
        <f>AA39*AA17</f>
        <v/>
      </c>
      <c r="AB43" s="9">
        <f>AB39*AB17</f>
        <v/>
      </c>
      <c r="AC43" s="9">
        <f>AC39*AC17</f>
        <v/>
      </c>
      <c r="AD43" s="9">
        <f>AD39*AD17</f>
        <v/>
      </c>
      <c r="AE43" s="9">
        <f>AE39*AE17</f>
        <v/>
      </c>
      <c r="AF43" s="9">
        <f>AF39*AF17</f>
        <v/>
      </c>
      <c r="AG43" s="9">
        <f>AG39*AG17</f>
        <v/>
      </c>
      <c r="AH43" s="9">
        <f>AH39*AH17</f>
        <v/>
      </c>
      <c r="AI43" s="9">
        <f>AI39*AI17</f>
        <v/>
      </c>
    </row>
    <row r="44">
      <c r="A44" t="inlineStr">
        <is>
          <t>Тонн за день</t>
        </is>
      </c>
      <c r="B44" t="inlineStr">
        <is>
          <t>т</t>
        </is>
      </c>
      <c r="C44" s="9">
        <f>C40*C17/1000</f>
        <v/>
      </c>
      <c r="D44" s="9">
        <f>D40*D17/1000</f>
        <v/>
      </c>
      <c r="E44" s="9">
        <f>E40*E17/1000</f>
        <v/>
      </c>
      <c r="F44" s="9">
        <f>F40*F17/1000</f>
        <v/>
      </c>
      <c r="G44" s="9">
        <f>G40*G17/1000</f>
        <v/>
      </c>
      <c r="H44" s="9">
        <f>H40*H17/1000</f>
        <v/>
      </c>
      <c r="I44" s="9">
        <f>I40*I17/1000</f>
        <v/>
      </c>
      <c r="J44" s="9">
        <f>J40*J17/1000</f>
        <v/>
      </c>
      <c r="K44" s="9">
        <f>K40*K17/1000</f>
        <v/>
      </c>
      <c r="L44" s="9">
        <f>L40*L17/1000</f>
        <v/>
      </c>
      <c r="M44" s="9">
        <f>M40*M17/1000</f>
        <v/>
      </c>
      <c r="N44" s="9">
        <f>N40*N17/1000</f>
        <v/>
      </c>
      <c r="O44" s="9">
        <f>O40*O17/1000</f>
        <v/>
      </c>
      <c r="P44" s="9">
        <f>P40*P17/1000</f>
        <v/>
      </c>
      <c r="Q44" s="9">
        <f>Q40*Q17/1000</f>
        <v/>
      </c>
      <c r="R44" s="9">
        <f>R40*R17/1000</f>
        <v/>
      </c>
      <c r="S44" s="9">
        <f>S40*S17/1000</f>
        <v/>
      </c>
      <c r="T44" s="9">
        <f>T40*T17/1000</f>
        <v/>
      </c>
      <c r="U44" s="9">
        <f>U40*U17/1000</f>
        <v/>
      </c>
      <c r="V44" s="9">
        <f>V40*V17/1000</f>
        <v/>
      </c>
      <c r="W44" s="9">
        <f>W40*W17/1000</f>
        <v/>
      </c>
      <c r="X44" s="9">
        <f>X40*X17/1000</f>
        <v/>
      </c>
      <c r="Y44" s="9">
        <f>Y40*Y17/1000</f>
        <v/>
      </c>
      <c r="Z44" s="9">
        <f>Z40*Z17/1000</f>
        <v/>
      </c>
      <c r="AA44" s="9">
        <f>AA40*AA17/1000</f>
        <v/>
      </c>
      <c r="AB44" s="9">
        <f>AB40*AB17/1000</f>
        <v/>
      </c>
      <c r="AC44" s="9">
        <f>AC40*AC17/1000</f>
        <v/>
      </c>
      <c r="AD44" s="9">
        <f>AD40*AD17/1000</f>
        <v/>
      </c>
      <c r="AE44" s="9">
        <f>AE40*AE17/1000</f>
        <v/>
      </c>
      <c r="AF44" s="9">
        <f>AF40*AF17/1000</f>
        <v/>
      </c>
      <c r="AG44" s="9">
        <f>AG40*AG17/1000</f>
        <v/>
      </c>
      <c r="AH44" s="9">
        <f>AH40*AH17/1000</f>
        <v/>
      </c>
      <c r="AI44" s="9">
        <f>AI40*AI17/1000</f>
        <v/>
      </c>
    </row>
    <row r="45">
      <c r="A45" t="inlineStr">
        <is>
          <t>Фактическая подача</t>
        </is>
      </c>
      <c r="B45" t="inlineStr">
        <is>
          <t>кг/мин</t>
        </is>
      </c>
      <c r="C45" s="9">
        <f>C36/C33</f>
        <v/>
      </c>
      <c r="D45" s="9">
        <f>D36/D33</f>
        <v/>
      </c>
      <c r="E45" s="9">
        <f>E36/E33</f>
        <v/>
      </c>
      <c r="F45" s="9">
        <f>F36/F33</f>
        <v/>
      </c>
      <c r="G45" s="9">
        <f>G36/G33</f>
        <v/>
      </c>
      <c r="H45" s="9">
        <f>H36/H33</f>
        <v/>
      </c>
      <c r="I45" s="9">
        <f>I36/I33</f>
        <v/>
      </c>
      <c r="J45" s="9">
        <f>J36/J33</f>
        <v/>
      </c>
      <c r="K45" s="9">
        <f>K36/K33</f>
        <v/>
      </c>
      <c r="L45" s="9">
        <f>L36/L33</f>
        <v/>
      </c>
      <c r="M45" s="9">
        <f>M36/M33</f>
        <v/>
      </c>
      <c r="N45" s="9">
        <f>N36/N33</f>
        <v/>
      </c>
      <c r="O45" s="9">
        <f>O36/O33</f>
        <v/>
      </c>
      <c r="P45" s="9">
        <f>P36/P33</f>
        <v/>
      </c>
      <c r="Q45" s="9">
        <f>Q36/Q33</f>
        <v/>
      </c>
      <c r="R45" s="9">
        <f>R36/R33</f>
        <v/>
      </c>
      <c r="S45" s="9">
        <f>S36/S33</f>
        <v/>
      </c>
      <c r="T45" s="9">
        <f>T36/T33</f>
        <v/>
      </c>
      <c r="U45" s="9">
        <f>U36/U33</f>
        <v/>
      </c>
      <c r="V45" s="9">
        <f>V36/V33</f>
        <v/>
      </c>
      <c r="W45" s="9">
        <f>W36/W33</f>
        <v/>
      </c>
      <c r="X45" s="9">
        <f>X36/X33</f>
        <v/>
      </c>
      <c r="Y45" s="9">
        <f>Y36/Y33</f>
        <v/>
      </c>
      <c r="Z45" s="9">
        <f>Z36/Z33</f>
        <v/>
      </c>
      <c r="AA45" s="9">
        <f>AA36/AA33</f>
        <v/>
      </c>
      <c r="AB45" s="9">
        <f>AB36/AB33</f>
        <v/>
      </c>
      <c r="AC45" s="9">
        <f>AC36/AC33</f>
        <v/>
      </c>
      <c r="AD45" s="9">
        <f>AD36/AD33</f>
        <v/>
      </c>
      <c r="AE45" s="9">
        <f>AE36/AE33</f>
        <v/>
      </c>
      <c r="AF45" s="9">
        <f>AF36/AF33</f>
        <v/>
      </c>
      <c r="AG45" s="9">
        <f>AG36/AG33</f>
        <v/>
      </c>
      <c r="AH45" s="9">
        <f>AH36/AH33</f>
        <v/>
      </c>
      <c r="AI45" s="9">
        <f>AI36/AI33</f>
        <v/>
      </c>
    </row>
    <row r="46">
      <c r="A46" t="inlineStr">
        <is>
          <t>Доля цикла батареи за вылет</t>
        </is>
      </c>
      <c r="B46" t="inlineStr">
        <is>
          <t>доля</t>
        </is>
      </c>
      <c r="C46" s="9">
        <f>C37/cycle_equiv_min</f>
        <v/>
      </c>
      <c r="D46" s="9">
        <f>D37/cycle_equiv_min</f>
        <v/>
      </c>
      <c r="E46" s="9">
        <f>E37/cycle_equiv_min</f>
        <v/>
      </c>
      <c r="F46" s="9">
        <f>F37/cycle_equiv_min</f>
        <v/>
      </c>
      <c r="G46" s="9">
        <f>G37/cycle_equiv_min</f>
        <v/>
      </c>
      <c r="H46" s="9">
        <f>H37/cycle_equiv_min</f>
        <v/>
      </c>
      <c r="I46" s="9">
        <f>I37/cycle_equiv_min</f>
        <v/>
      </c>
      <c r="J46" s="9">
        <f>J37/cycle_equiv_min</f>
        <v/>
      </c>
      <c r="K46" s="9">
        <f>K37/cycle_equiv_min</f>
        <v/>
      </c>
      <c r="L46" s="9">
        <f>L37/cycle_equiv_min</f>
        <v/>
      </c>
      <c r="M46" s="9">
        <f>M37/cycle_equiv_min</f>
        <v/>
      </c>
      <c r="N46" s="9">
        <f>N37/cycle_equiv_min</f>
        <v/>
      </c>
      <c r="O46" s="9">
        <f>O37/cycle_equiv_min</f>
        <v/>
      </c>
      <c r="P46" s="9">
        <f>P37/cycle_equiv_min</f>
        <v/>
      </c>
      <c r="Q46" s="9">
        <f>Q37/cycle_equiv_min</f>
        <v/>
      </c>
      <c r="R46" s="9">
        <f>R37/cycle_equiv_min</f>
        <v/>
      </c>
      <c r="S46" s="9">
        <f>S37/cycle_equiv_min</f>
        <v/>
      </c>
      <c r="T46" s="9">
        <f>T37/cycle_equiv_min</f>
        <v/>
      </c>
      <c r="U46" s="9">
        <f>U37/cycle_equiv_min</f>
        <v/>
      </c>
      <c r="V46" s="9">
        <f>V37/cycle_equiv_min</f>
        <v/>
      </c>
      <c r="W46" s="9">
        <f>W37/cycle_equiv_min</f>
        <v/>
      </c>
      <c r="X46" s="9">
        <f>X37/cycle_equiv_min</f>
        <v/>
      </c>
      <c r="Y46" s="9">
        <f>Y37/cycle_equiv_min</f>
        <v/>
      </c>
      <c r="Z46" s="9">
        <f>Z37/cycle_equiv_min</f>
        <v/>
      </c>
      <c r="AA46" s="9">
        <f>AA37/cycle_equiv_min</f>
        <v/>
      </c>
      <c r="AB46" s="9">
        <f>AB37/cycle_equiv_min</f>
        <v/>
      </c>
      <c r="AC46" s="9">
        <f>AC37/cycle_equiv_min</f>
        <v/>
      </c>
      <c r="AD46" s="9">
        <f>AD37/cycle_equiv_min</f>
        <v/>
      </c>
      <c r="AE46" s="9">
        <f>AE37/cycle_equiv_min</f>
        <v/>
      </c>
      <c r="AF46" s="9">
        <f>AF37/cycle_equiv_min</f>
        <v/>
      </c>
      <c r="AG46" s="9">
        <f>AG37/cycle_equiv_min</f>
        <v/>
      </c>
      <c r="AH46" s="9">
        <f>AH37/cycle_equiv_min</f>
        <v/>
      </c>
      <c r="AI46" s="9">
        <f>AI37/cycle_equiv_min</f>
        <v/>
      </c>
    </row>
    <row r="47">
      <c r="A47" t="inlineStr">
        <is>
          <t>Полных зарядок батарей за день</t>
        </is>
      </c>
      <c r="B47" t="inlineStr">
        <is>
          <t>шт</t>
        </is>
      </c>
      <c r="C47" s="9">
        <f>C43*C46</f>
        <v/>
      </c>
      <c r="D47" s="9">
        <f>D43*D46</f>
        <v/>
      </c>
      <c r="E47" s="9">
        <f>E43*E46</f>
        <v/>
      </c>
      <c r="F47" s="9">
        <f>F43*F46</f>
        <v/>
      </c>
      <c r="G47" s="9">
        <f>G43*G46</f>
        <v/>
      </c>
      <c r="H47" s="9">
        <f>H43*H46</f>
        <v/>
      </c>
      <c r="I47" s="9">
        <f>I43*I46</f>
        <v/>
      </c>
      <c r="J47" s="9">
        <f>J43*J46</f>
        <v/>
      </c>
      <c r="K47" s="9">
        <f>K43*K46</f>
        <v/>
      </c>
      <c r="L47" s="9">
        <f>L43*L46</f>
        <v/>
      </c>
      <c r="M47" s="9">
        <f>M43*M46</f>
        <v/>
      </c>
      <c r="N47" s="9">
        <f>N43*N46</f>
        <v/>
      </c>
      <c r="O47" s="9">
        <f>O43*O46</f>
        <v/>
      </c>
      <c r="P47" s="9">
        <f>P43*P46</f>
        <v/>
      </c>
      <c r="Q47" s="9">
        <f>Q43*Q46</f>
        <v/>
      </c>
      <c r="R47" s="9">
        <f>R43*R46</f>
        <v/>
      </c>
      <c r="S47" s="9">
        <f>S43*S46</f>
        <v/>
      </c>
      <c r="T47" s="9">
        <f>T43*T46</f>
        <v/>
      </c>
      <c r="U47" s="9">
        <f>U43*U46</f>
        <v/>
      </c>
      <c r="V47" s="9">
        <f>V43*V46</f>
        <v/>
      </c>
      <c r="W47" s="9">
        <f>W43*W46</f>
        <v/>
      </c>
      <c r="X47" s="9">
        <f>X43*X46</f>
        <v/>
      </c>
      <c r="Y47" s="9">
        <f>Y43*Y46</f>
        <v/>
      </c>
      <c r="Z47" s="9">
        <f>Z43*Z46</f>
        <v/>
      </c>
      <c r="AA47" s="9">
        <f>AA43*AA46</f>
        <v/>
      </c>
      <c r="AB47" s="9">
        <f>AB43*AB46</f>
        <v/>
      </c>
      <c r="AC47" s="9">
        <f>AC43*AC46</f>
        <v/>
      </c>
      <c r="AD47" s="9">
        <f>AD43*AD46</f>
        <v/>
      </c>
      <c r="AE47" s="9">
        <f>AE43*AE46</f>
        <v/>
      </c>
      <c r="AF47" s="9">
        <f>AF43*AF46</f>
        <v/>
      </c>
      <c r="AG47" s="9">
        <f>AG43*AG46</f>
        <v/>
      </c>
      <c r="AH47" s="9">
        <f>AH43*AH46</f>
        <v/>
      </c>
      <c r="AI47" s="9">
        <f>AI43*AI46</f>
        <v/>
      </c>
    </row>
    <row r="48">
      <c r="A48" s="3" t="inlineStr">
        <is>
          <t>ЗАТРАТЫ НА ОДИН ВЫЛЕТ</t>
        </is>
      </c>
      <c r="B48" s="2" t="inlineStr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>
      <c r="A49" t="inlineStr">
        <is>
          <t>Износ батареи</t>
        </is>
      </c>
      <c r="B49" t="inlineStr">
        <is>
          <t>сум</t>
        </is>
      </c>
      <c r="C49" s="10">
        <f>C20*usd_rate/C23*C46</f>
        <v/>
      </c>
      <c r="D49" s="10">
        <f>D20*usd_rate/D23*D46</f>
        <v/>
      </c>
      <c r="E49" s="10">
        <f>E20*usd_rate/E23*E46</f>
        <v/>
      </c>
      <c r="F49" s="10">
        <f>F20*usd_rate/F23*F46</f>
        <v/>
      </c>
      <c r="G49" s="10">
        <f>G20*usd_rate/G23*G46</f>
        <v/>
      </c>
      <c r="H49" s="10">
        <f>H20*usd_rate/H23*H46</f>
        <v/>
      </c>
      <c r="I49" s="10">
        <f>I20*usd_rate/I23*I46</f>
        <v/>
      </c>
      <c r="J49" s="10">
        <f>J20*usd_rate/J23*J46</f>
        <v/>
      </c>
      <c r="K49" s="10">
        <f>K20*usd_rate/K23*K46</f>
        <v/>
      </c>
      <c r="L49" s="10">
        <f>L20*usd_rate/L23*L46</f>
        <v/>
      </c>
      <c r="M49" s="10">
        <f>M20*usd_rate/M23*M46</f>
        <v/>
      </c>
      <c r="N49" s="10">
        <f>N20*usd_rate/N23*N46</f>
        <v/>
      </c>
      <c r="O49" s="10">
        <f>O20*usd_rate/O23*O46</f>
        <v/>
      </c>
      <c r="P49" s="10">
        <f>P20*usd_rate/P23*P46</f>
        <v/>
      </c>
      <c r="Q49" s="10">
        <f>Q20*usd_rate/Q23*Q46</f>
        <v/>
      </c>
      <c r="R49" s="10">
        <f>R20*usd_rate/R23*R46</f>
        <v/>
      </c>
      <c r="S49" s="10">
        <f>S20*usd_rate/S23*S46</f>
        <v/>
      </c>
      <c r="T49" s="10">
        <f>T20*usd_rate/T23*T46</f>
        <v/>
      </c>
      <c r="U49" s="10">
        <f>U20*usd_rate/U23*U46</f>
        <v/>
      </c>
      <c r="V49" s="10">
        <f>V20*usd_rate/V23*V46</f>
        <v/>
      </c>
      <c r="W49" s="10">
        <f>W20*usd_rate/W23*W46</f>
        <v/>
      </c>
      <c r="X49" s="10">
        <f>X20*usd_rate/X23*X46</f>
        <v/>
      </c>
      <c r="Y49" s="10">
        <f>Y20*usd_rate/Y23*Y46</f>
        <v/>
      </c>
      <c r="Z49" s="10">
        <f>Z20*usd_rate/Z23*Z46</f>
        <v/>
      </c>
      <c r="AA49" s="10">
        <f>AA20*usd_rate/AA23*AA46</f>
        <v/>
      </c>
      <c r="AB49" s="10">
        <f>AB20*usd_rate/AB23*AB46</f>
        <v/>
      </c>
      <c r="AC49" s="10">
        <f>AC20*usd_rate/AC23*AC46</f>
        <v/>
      </c>
      <c r="AD49" s="10">
        <f>AD20*usd_rate/AD23*AD46</f>
        <v/>
      </c>
      <c r="AE49" s="10">
        <f>AE20*usd_rate/AE23*AE46</f>
        <v/>
      </c>
      <c r="AF49" s="10">
        <f>AF20*usd_rate/AF23*AF46</f>
        <v/>
      </c>
      <c r="AG49" s="10">
        <f>AG20*usd_rate/AG23*AG46</f>
        <v/>
      </c>
      <c r="AH49" s="10">
        <f>AH20*usd_rate/AH23*AH46</f>
        <v/>
      </c>
      <c r="AI49" s="10">
        <f>AI20*usd_rate/AI23*AI46</f>
        <v/>
      </c>
    </row>
    <row r="50">
      <c r="A50" t="inlineStr">
        <is>
          <t>Бензин генератора</t>
        </is>
      </c>
      <c r="B50" t="inlineStr">
        <is>
          <t>сум</t>
        </is>
      </c>
      <c r="C50" s="10">
        <f>battery_kwh*C46/charge_eff*gen_l_per_kwh*C22</f>
        <v/>
      </c>
      <c r="D50" s="10">
        <f>battery_kwh*D46/charge_eff*gen_l_per_kwh*D22</f>
        <v/>
      </c>
      <c r="E50" s="10">
        <f>battery_kwh*E46/charge_eff*gen_l_per_kwh*E22</f>
        <v/>
      </c>
      <c r="F50" s="10">
        <f>battery_kwh*F46/charge_eff*gen_l_per_kwh*F22</f>
        <v/>
      </c>
      <c r="G50" s="10">
        <f>battery_kwh*G46/charge_eff*gen_l_per_kwh*G22</f>
        <v/>
      </c>
      <c r="H50" s="10">
        <f>battery_kwh*H46/charge_eff*gen_l_per_kwh*H22</f>
        <v/>
      </c>
      <c r="I50" s="10">
        <f>battery_kwh*I46/charge_eff*gen_l_per_kwh*I22</f>
        <v/>
      </c>
      <c r="J50" s="10">
        <f>battery_kwh*J46/charge_eff*gen_l_per_kwh*J22</f>
        <v/>
      </c>
      <c r="K50" s="10">
        <f>battery_kwh*K46/charge_eff*gen_l_per_kwh*K22</f>
        <v/>
      </c>
      <c r="L50" s="10">
        <f>battery_kwh*L46/charge_eff*gen_l_per_kwh*L22</f>
        <v/>
      </c>
      <c r="M50" s="10">
        <f>battery_kwh*M46/charge_eff*gen_l_per_kwh*M22</f>
        <v/>
      </c>
      <c r="N50" s="10">
        <f>battery_kwh*N46/charge_eff*gen_l_per_kwh*N22</f>
        <v/>
      </c>
      <c r="O50" s="10">
        <f>battery_kwh*O46/charge_eff*gen_l_per_kwh*O22</f>
        <v/>
      </c>
      <c r="P50" s="10">
        <f>battery_kwh*P46/charge_eff*gen_l_per_kwh*P22</f>
        <v/>
      </c>
      <c r="Q50" s="10">
        <f>battery_kwh*Q46/charge_eff*gen_l_per_kwh*Q22</f>
        <v/>
      </c>
      <c r="R50" s="10">
        <f>battery_kwh*R46/charge_eff*gen_l_per_kwh*R22</f>
        <v/>
      </c>
      <c r="S50" s="10">
        <f>battery_kwh*S46/charge_eff*gen_l_per_kwh*S22</f>
        <v/>
      </c>
      <c r="T50" s="10">
        <f>battery_kwh*T46/charge_eff*gen_l_per_kwh*T22</f>
        <v/>
      </c>
      <c r="U50" s="10">
        <f>battery_kwh*U46/charge_eff*gen_l_per_kwh*U22</f>
        <v/>
      </c>
      <c r="V50" s="10">
        <f>battery_kwh*V46/charge_eff*gen_l_per_kwh*V22</f>
        <v/>
      </c>
      <c r="W50" s="10">
        <f>battery_kwh*W46/charge_eff*gen_l_per_kwh*W22</f>
        <v/>
      </c>
      <c r="X50" s="10">
        <f>battery_kwh*X46/charge_eff*gen_l_per_kwh*X22</f>
        <v/>
      </c>
      <c r="Y50" s="10">
        <f>battery_kwh*Y46/charge_eff*gen_l_per_kwh*Y22</f>
        <v/>
      </c>
      <c r="Z50" s="10">
        <f>battery_kwh*Z46/charge_eff*gen_l_per_kwh*Z22</f>
        <v/>
      </c>
      <c r="AA50" s="10">
        <f>battery_kwh*AA46/charge_eff*gen_l_per_kwh*AA22</f>
        <v/>
      </c>
      <c r="AB50" s="10">
        <f>battery_kwh*AB46/charge_eff*gen_l_per_kwh*AB22</f>
        <v/>
      </c>
      <c r="AC50" s="10">
        <f>battery_kwh*AC46/charge_eff*gen_l_per_kwh*AC22</f>
        <v/>
      </c>
      <c r="AD50" s="10">
        <f>battery_kwh*AD46/charge_eff*gen_l_per_kwh*AD22</f>
        <v/>
      </c>
      <c r="AE50" s="10">
        <f>battery_kwh*AE46/charge_eff*gen_l_per_kwh*AE22</f>
        <v/>
      </c>
      <c r="AF50" s="10">
        <f>battery_kwh*AF46/charge_eff*gen_l_per_kwh*AF22</f>
        <v/>
      </c>
      <c r="AG50" s="10">
        <f>battery_kwh*AG46/charge_eff*gen_l_per_kwh*AG22</f>
        <v/>
      </c>
      <c r="AH50" s="10">
        <f>battery_kwh*AH46/charge_eff*gen_l_per_kwh*AH22</f>
        <v/>
      </c>
      <c r="AI50" s="10">
        <f>battery_kwh*AI46/charge_eff*gen_l_per_kwh*AI22</f>
        <v/>
      </c>
    </row>
    <row r="51">
      <c r="A51" t="inlineStr">
        <is>
          <t>Износ дрона (с надбавкой за удобрения)</t>
        </is>
      </c>
      <c r="B51" t="inlineStr">
        <is>
          <t>сум</t>
        </is>
      </c>
      <c r="C51" s="10">
        <f>drone_wear_usd_h*usd_rate*C37/60*(1+fert_wear_premium)</f>
        <v/>
      </c>
      <c r="D51" s="10">
        <f>drone_wear_usd_h*usd_rate*D37/60*(1+fert_wear_premium)</f>
        <v/>
      </c>
      <c r="E51" s="10">
        <f>drone_wear_usd_h*usd_rate*E37/60*(1+fert_wear_premium)</f>
        <v/>
      </c>
      <c r="F51" s="10">
        <f>drone_wear_usd_h*usd_rate*F37/60*(1+fert_wear_premium)</f>
        <v/>
      </c>
      <c r="G51" s="10">
        <f>drone_wear_usd_h*usd_rate*G37/60*(1+fert_wear_premium)</f>
        <v/>
      </c>
      <c r="H51" s="10">
        <f>drone_wear_usd_h*usd_rate*H37/60*(1+fert_wear_premium)</f>
        <v/>
      </c>
      <c r="I51" s="10">
        <f>drone_wear_usd_h*usd_rate*I37/60*(1+fert_wear_premium)</f>
        <v/>
      </c>
      <c r="J51" s="10">
        <f>drone_wear_usd_h*usd_rate*J37/60*(1+fert_wear_premium)</f>
        <v/>
      </c>
      <c r="K51" s="10">
        <f>drone_wear_usd_h*usd_rate*K37/60*(1+fert_wear_premium)</f>
        <v/>
      </c>
      <c r="L51" s="10">
        <f>drone_wear_usd_h*usd_rate*L37/60*(1+fert_wear_premium)</f>
        <v/>
      </c>
      <c r="M51" s="10">
        <f>drone_wear_usd_h*usd_rate*M37/60*(1+fert_wear_premium)</f>
        <v/>
      </c>
      <c r="N51" s="10">
        <f>drone_wear_usd_h*usd_rate*N37/60*(1+fert_wear_premium)</f>
        <v/>
      </c>
      <c r="O51" s="10">
        <f>drone_wear_usd_h*usd_rate*O37/60*(1+fert_wear_premium)</f>
        <v/>
      </c>
      <c r="P51" s="10">
        <f>drone_wear_usd_h*usd_rate*P37/60*(1+fert_wear_premium)</f>
        <v/>
      </c>
      <c r="Q51" s="10">
        <f>drone_wear_usd_h*usd_rate*Q37/60*(1+fert_wear_premium)</f>
        <v/>
      </c>
      <c r="R51" s="10">
        <f>drone_wear_usd_h*usd_rate*R37/60*(1+fert_wear_premium)</f>
        <v/>
      </c>
      <c r="S51" s="10">
        <f>drone_wear_usd_h*usd_rate*S37/60*(1+fert_wear_premium)</f>
        <v/>
      </c>
      <c r="T51" s="10">
        <f>drone_wear_usd_h*usd_rate*T37/60*(1+fert_wear_premium)</f>
        <v/>
      </c>
      <c r="U51" s="10">
        <f>drone_wear_usd_h*usd_rate*U37/60*(1+fert_wear_premium)</f>
        <v/>
      </c>
      <c r="V51" s="10">
        <f>drone_wear_usd_h*usd_rate*V37/60*(1+fert_wear_premium)</f>
        <v/>
      </c>
      <c r="W51" s="10">
        <f>drone_wear_usd_h*usd_rate*W37/60*(1+fert_wear_premium)</f>
        <v/>
      </c>
      <c r="X51" s="10">
        <f>drone_wear_usd_h*usd_rate*X37/60*(1+fert_wear_premium)</f>
        <v/>
      </c>
      <c r="Y51" s="10">
        <f>drone_wear_usd_h*usd_rate*Y37/60*(1+fert_wear_premium)</f>
        <v/>
      </c>
      <c r="Z51" s="10">
        <f>drone_wear_usd_h*usd_rate*Z37/60*(1+fert_wear_premium)</f>
        <v/>
      </c>
      <c r="AA51" s="10">
        <f>drone_wear_usd_h*usd_rate*AA37/60*(1+fert_wear_premium)</f>
        <v/>
      </c>
      <c r="AB51" s="10">
        <f>drone_wear_usd_h*usd_rate*AB37/60*(1+fert_wear_premium)</f>
        <v/>
      </c>
      <c r="AC51" s="10">
        <f>drone_wear_usd_h*usd_rate*AC37/60*(1+fert_wear_premium)</f>
        <v/>
      </c>
      <c r="AD51" s="10">
        <f>drone_wear_usd_h*usd_rate*AD37/60*(1+fert_wear_premium)</f>
        <v/>
      </c>
      <c r="AE51" s="10">
        <f>drone_wear_usd_h*usd_rate*AE37/60*(1+fert_wear_premium)</f>
        <v/>
      </c>
      <c r="AF51" s="10">
        <f>drone_wear_usd_h*usd_rate*AF37/60*(1+fert_wear_premium)</f>
        <v/>
      </c>
      <c r="AG51" s="10">
        <f>drone_wear_usd_h*usd_rate*AG37/60*(1+fert_wear_premium)</f>
        <v/>
      </c>
      <c r="AH51" s="10">
        <f>drone_wear_usd_h*usd_rate*AH37/60*(1+fert_wear_premium)</f>
        <v/>
      </c>
      <c r="AI51" s="10">
        <f>drone_wear_usd_h*usd_rate*AI37/60*(1+fert_wear_premium)</f>
        <v/>
      </c>
    </row>
    <row r="52">
      <c r="A52" t="inlineStr">
        <is>
          <t>Итого на вылет</t>
        </is>
      </c>
      <c r="B52" t="inlineStr">
        <is>
          <t>сум</t>
        </is>
      </c>
      <c r="C52" s="10">
        <f>C49+C50+C51</f>
        <v/>
      </c>
      <c r="D52" s="10">
        <f>D49+D50+D51</f>
        <v/>
      </c>
      <c r="E52" s="10">
        <f>E49+E50+E51</f>
        <v/>
      </c>
      <c r="F52" s="10">
        <f>F49+F50+F51</f>
        <v/>
      </c>
      <c r="G52" s="10">
        <f>G49+G50+G51</f>
        <v/>
      </c>
      <c r="H52" s="10">
        <f>H49+H50+H51</f>
        <v/>
      </c>
      <c r="I52" s="10">
        <f>I49+I50+I51</f>
        <v/>
      </c>
      <c r="J52" s="10">
        <f>J49+J50+J51</f>
        <v/>
      </c>
      <c r="K52" s="10">
        <f>K49+K50+K51</f>
        <v/>
      </c>
      <c r="L52" s="10">
        <f>L49+L50+L51</f>
        <v/>
      </c>
      <c r="M52" s="10">
        <f>M49+M50+M51</f>
        <v/>
      </c>
      <c r="N52" s="10">
        <f>N49+N50+N51</f>
        <v/>
      </c>
      <c r="O52" s="10">
        <f>O49+O50+O51</f>
        <v/>
      </c>
      <c r="P52" s="10">
        <f>P49+P50+P51</f>
        <v/>
      </c>
      <c r="Q52" s="10">
        <f>Q49+Q50+Q51</f>
        <v/>
      </c>
      <c r="R52" s="10">
        <f>R49+R50+R51</f>
        <v/>
      </c>
      <c r="S52" s="10">
        <f>S49+S50+S51</f>
        <v/>
      </c>
      <c r="T52" s="10">
        <f>T49+T50+T51</f>
        <v/>
      </c>
      <c r="U52" s="10">
        <f>U49+U50+U51</f>
        <v/>
      </c>
      <c r="V52" s="10">
        <f>V49+V50+V51</f>
        <v/>
      </c>
      <c r="W52" s="10">
        <f>W49+W50+W51</f>
        <v/>
      </c>
      <c r="X52" s="10">
        <f>X49+X50+X51</f>
        <v/>
      </c>
      <c r="Y52" s="10">
        <f>Y49+Y50+Y51</f>
        <v/>
      </c>
      <c r="Z52" s="10">
        <f>Z49+Z50+Z51</f>
        <v/>
      </c>
      <c r="AA52" s="10">
        <f>AA49+AA50+AA51</f>
        <v/>
      </c>
      <c r="AB52" s="10">
        <f>AB49+AB50+AB51</f>
        <v/>
      </c>
      <c r="AC52" s="10">
        <f>AC49+AC50+AC51</f>
        <v/>
      </c>
      <c r="AD52" s="10">
        <f>AD49+AD50+AD51</f>
        <v/>
      </c>
      <c r="AE52" s="10">
        <f>AE49+AE50+AE51</f>
        <v/>
      </c>
      <c r="AF52" s="10">
        <f>AF49+AF50+AF51</f>
        <v/>
      </c>
      <c r="AG52" s="10">
        <f>AG49+AG50+AG51</f>
        <v/>
      </c>
      <c r="AH52" s="10">
        <f>AH49+AH50+AH51</f>
        <v/>
      </c>
      <c r="AI52" s="10">
        <f>AI49+AI50+AI51</f>
        <v/>
      </c>
    </row>
    <row r="53">
      <c r="A53" s="3" t="inlineStr">
        <is>
          <t>ЗАТРАТЫ НА РАБОЧИЙ ДЕНЬ</t>
        </is>
      </c>
      <c r="B53" s="2" t="inlineStr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</row>
    <row r="54">
      <c r="A54" t="inlineStr">
        <is>
          <t>Экипаж, транспорт, прочее</t>
        </is>
      </c>
      <c r="B54" t="inlineStr">
        <is>
          <t>сум</t>
        </is>
      </c>
      <c r="C54" s="10">
        <f>C21+helpers_count*helper_day+vehicle_km*(diesel_l_100km/100*diesel_price+vehicle_wear_km)+per_diem_day+other_day</f>
        <v/>
      </c>
      <c r="D54" s="10">
        <f>D21+helpers_count*helper_day+vehicle_km*(diesel_l_100km/100*diesel_price+vehicle_wear_km)+per_diem_day+other_day</f>
        <v/>
      </c>
      <c r="E54" s="10">
        <f>E21+helpers_count*helper_day+vehicle_km*(diesel_l_100km/100*diesel_price+vehicle_wear_km)+per_diem_day+other_day</f>
        <v/>
      </c>
      <c r="F54" s="10">
        <f>F21+helpers_count*helper_day+vehicle_km*(diesel_l_100km/100*diesel_price+vehicle_wear_km)+per_diem_day+other_day</f>
        <v/>
      </c>
      <c r="G54" s="10">
        <f>G21+helpers_count*helper_day+vehicle_km*(diesel_l_100km/100*diesel_price+vehicle_wear_km)+per_diem_day+other_day</f>
        <v/>
      </c>
      <c r="H54" s="10">
        <f>H21+helpers_count*helper_day+vehicle_km*(diesel_l_100km/100*diesel_price+vehicle_wear_km)+per_diem_day+other_day</f>
        <v/>
      </c>
      <c r="I54" s="10">
        <f>I21+helpers_count*helper_day+vehicle_km*(diesel_l_100km/100*diesel_price+vehicle_wear_km)+per_diem_day+other_day</f>
        <v/>
      </c>
      <c r="J54" s="10">
        <f>J21+helpers_count*helper_day+vehicle_km*(diesel_l_100km/100*diesel_price+vehicle_wear_km)+per_diem_day+other_day</f>
        <v/>
      </c>
      <c r="K54" s="10">
        <f>K21+helpers_count*helper_day+vehicle_km*(diesel_l_100km/100*diesel_price+vehicle_wear_km)+per_diem_day+other_day</f>
        <v/>
      </c>
      <c r="L54" s="10">
        <f>L21+helpers_count*helper_day+vehicle_km*(diesel_l_100km/100*diesel_price+vehicle_wear_km)+per_diem_day+other_day</f>
        <v/>
      </c>
      <c r="M54" s="10">
        <f>M21+helpers_count*helper_day+vehicle_km*(diesel_l_100km/100*diesel_price+vehicle_wear_km)+per_diem_day+other_day</f>
        <v/>
      </c>
      <c r="N54" s="10">
        <f>N21+helpers_count*helper_day+vehicle_km*(diesel_l_100km/100*diesel_price+vehicle_wear_km)+per_diem_day+other_day</f>
        <v/>
      </c>
      <c r="O54" s="10">
        <f>O21+helpers_count*helper_day+vehicle_km*(diesel_l_100km/100*diesel_price+vehicle_wear_km)+per_diem_day+other_day</f>
        <v/>
      </c>
      <c r="P54" s="10">
        <f>P21+helpers_count*helper_day+vehicle_km*(diesel_l_100km/100*diesel_price+vehicle_wear_km)+per_diem_day+other_day</f>
        <v/>
      </c>
      <c r="Q54" s="10">
        <f>Q21+helpers_count*helper_day+vehicle_km*(diesel_l_100km/100*diesel_price+vehicle_wear_km)+per_diem_day+other_day</f>
        <v/>
      </c>
      <c r="R54" s="10">
        <f>R21+helpers_count*helper_day+vehicle_km*(diesel_l_100km/100*diesel_price+vehicle_wear_km)+per_diem_day+other_day</f>
        <v/>
      </c>
      <c r="S54" s="10">
        <f>S21+helpers_count*helper_day+vehicle_km*(diesel_l_100km/100*diesel_price+vehicle_wear_km)+per_diem_day+other_day</f>
        <v/>
      </c>
      <c r="T54" s="10">
        <f>T21+helpers_count*helper_day+vehicle_km*(diesel_l_100km/100*diesel_price+vehicle_wear_km)+per_diem_day+other_day</f>
        <v/>
      </c>
      <c r="U54" s="10">
        <f>U21+helpers_count*helper_day+vehicle_km*(diesel_l_100km/100*diesel_price+vehicle_wear_km)+per_diem_day+other_day</f>
        <v/>
      </c>
      <c r="V54" s="10">
        <f>V21+helpers_count*helper_day+vehicle_km*(diesel_l_100km/100*diesel_price+vehicle_wear_km)+per_diem_day+other_day</f>
        <v/>
      </c>
      <c r="W54" s="10">
        <f>W21+helpers_count*helper_day+vehicle_km*(diesel_l_100km/100*diesel_price+vehicle_wear_km)+per_diem_day+other_day</f>
        <v/>
      </c>
      <c r="X54" s="10">
        <f>X21+helpers_count*helper_day+vehicle_km*(diesel_l_100km/100*diesel_price+vehicle_wear_km)+per_diem_day+other_day</f>
        <v/>
      </c>
      <c r="Y54" s="10">
        <f>Y21+helpers_count*helper_day+vehicle_km*(diesel_l_100km/100*diesel_price+vehicle_wear_km)+per_diem_day+other_day</f>
        <v/>
      </c>
      <c r="Z54" s="10">
        <f>Z21+helpers_count*helper_day+vehicle_km*(diesel_l_100km/100*diesel_price+vehicle_wear_km)+per_diem_day+other_day</f>
        <v/>
      </c>
      <c r="AA54" s="10">
        <f>AA21+helpers_count*helper_day+vehicle_km*(diesel_l_100km/100*diesel_price+vehicle_wear_km)+per_diem_day+other_day</f>
        <v/>
      </c>
      <c r="AB54" s="10">
        <f>AB21+helpers_count*helper_day+vehicle_km*(diesel_l_100km/100*diesel_price+vehicle_wear_km)+per_diem_day+other_day</f>
        <v/>
      </c>
      <c r="AC54" s="10">
        <f>AC21+helpers_count*helper_day+vehicle_km*(diesel_l_100km/100*diesel_price+vehicle_wear_km)+per_diem_day+other_day</f>
        <v/>
      </c>
      <c r="AD54" s="10">
        <f>AD21+helpers_count*helper_day+vehicle_km*(diesel_l_100km/100*diesel_price+vehicle_wear_km)+per_diem_day+other_day</f>
        <v/>
      </c>
      <c r="AE54" s="10">
        <f>AE21+helpers_count*helper_day+vehicle_km*(diesel_l_100km/100*diesel_price+vehicle_wear_km)+per_diem_day+other_day</f>
        <v/>
      </c>
      <c r="AF54" s="10">
        <f>AF21+helpers_count*helper_day+vehicle_km*(diesel_l_100km/100*diesel_price+vehicle_wear_km)+per_diem_day+other_day</f>
        <v/>
      </c>
      <c r="AG54" s="10">
        <f>AG21+helpers_count*helper_day+vehicle_km*(diesel_l_100km/100*diesel_price+vehicle_wear_km)+per_diem_day+other_day</f>
        <v/>
      </c>
      <c r="AH54" s="10">
        <f>AH21+helpers_count*helper_day+vehicle_km*(diesel_l_100km/100*diesel_price+vehicle_wear_km)+per_diem_day+other_day</f>
        <v/>
      </c>
      <c r="AI54" s="10">
        <f>AI21+helpers_count*helper_day+vehicle_km*(diesel_l_100km/100*diesel_price+vehicle_wear_km)+per_diem_day+other_day</f>
        <v/>
      </c>
    </row>
    <row r="55">
      <c r="A55" t="inlineStr">
        <is>
          <t>Батареи, бензин, износ за все вылеты</t>
        </is>
      </c>
      <c r="B55" t="inlineStr">
        <is>
          <t>сум</t>
        </is>
      </c>
      <c r="C55" s="10">
        <f>C52*C43</f>
        <v/>
      </c>
      <c r="D55" s="10">
        <f>D52*D43</f>
        <v/>
      </c>
      <c r="E55" s="10">
        <f>E52*E43</f>
        <v/>
      </c>
      <c r="F55" s="10">
        <f>F52*F43</f>
        <v/>
      </c>
      <c r="G55" s="10">
        <f>G52*G43</f>
        <v/>
      </c>
      <c r="H55" s="10">
        <f>H52*H43</f>
        <v/>
      </c>
      <c r="I55" s="10">
        <f>I52*I43</f>
        <v/>
      </c>
      <c r="J55" s="10">
        <f>J52*J43</f>
        <v/>
      </c>
      <c r="K55" s="10">
        <f>K52*K43</f>
        <v/>
      </c>
      <c r="L55" s="10">
        <f>L52*L43</f>
        <v/>
      </c>
      <c r="M55" s="10">
        <f>M52*M43</f>
        <v/>
      </c>
      <c r="N55" s="10">
        <f>N52*N43</f>
        <v/>
      </c>
      <c r="O55" s="10">
        <f>O52*O43</f>
        <v/>
      </c>
      <c r="P55" s="10">
        <f>P52*P43</f>
        <v/>
      </c>
      <c r="Q55" s="10">
        <f>Q52*Q43</f>
        <v/>
      </c>
      <c r="R55" s="10">
        <f>R52*R43</f>
        <v/>
      </c>
      <c r="S55" s="10">
        <f>S52*S43</f>
        <v/>
      </c>
      <c r="T55" s="10">
        <f>T52*T43</f>
        <v/>
      </c>
      <c r="U55" s="10">
        <f>U52*U43</f>
        <v/>
      </c>
      <c r="V55" s="10">
        <f>V52*V43</f>
        <v/>
      </c>
      <c r="W55" s="10">
        <f>W52*W43</f>
        <v/>
      </c>
      <c r="X55" s="10">
        <f>X52*X43</f>
        <v/>
      </c>
      <c r="Y55" s="10">
        <f>Y52*Y43</f>
        <v/>
      </c>
      <c r="Z55" s="10">
        <f>Z52*Z43</f>
        <v/>
      </c>
      <c r="AA55" s="10">
        <f>AA52*AA43</f>
        <v/>
      </c>
      <c r="AB55" s="10">
        <f>AB52*AB43</f>
        <v/>
      </c>
      <c r="AC55" s="10">
        <f>AC52*AC43</f>
        <v/>
      </c>
      <c r="AD55" s="10">
        <f>AD52*AD43</f>
        <v/>
      </c>
      <c r="AE55" s="10">
        <f>AE52*AE43</f>
        <v/>
      </c>
      <c r="AF55" s="10">
        <f>AF52*AF43</f>
        <v/>
      </c>
      <c r="AG55" s="10">
        <f>AG52*AG43</f>
        <v/>
      </c>
      <c r="AH55" s="10">
        <f>AH52*AH43</f>
        <v/>
      </c>
      <c r="AI55" s="10">
        <f>AI52*AI43</f>
        <v/>
      </c>
    </row>
    <row r="56">
      <c r="A56" t="inlineStr">
        <is>
          <t>Амортизация разбрасывателя</t>
        </is>
      </c>
      <c r="B56" t="inlineStr">
        <is>
          <t>сум</t>
        </is>
      </c>
      <c r="C56" s="10">
        <f>spreader_price_usd*usd_rate/spreader_life_seasons/C24</f>
        <v/>
      </c>
      <c r="D56" s="10">
        <f>spreader_price_usd*usd_rate/spreader_life_seasons/D24</f>
        <v/>
      </c>
      <c r="E56" s="10">
        <f>spreader_price_usd*usd_rate/spreader_life_seasons/E24</f>
        <v/>
      </c>
      <c r="F56" s="10">
        <f>spreader_price_usd*usd_rate/spreader_life_seasons/F24</f>
        <v/>
      </c>
      <c r="G56" s="10">
        <f>spreader_price_usd*usd_rate/spreader_life_seasons/G24</f>
        <v/>
      </c>
      <c r="H56" s="10">
        <f>spreader_price_usd*usd_rate/spreader_life_seasons/H24</f>
        <v/>
      </c>
      <c r="I56" s="10">
        <f>spreader_price_usd*usd_rate/spreader_life_seasons/I24</f>
        <v/>
      </c>
      <c r="J56" s="10">
        <f>spreader_price_usd*usd_rate/spreader_life_seasons/J24</f>
        <v/>
      </c>
      <c r="K56" s="10">
        <f>spreader_price_usd*usd_rate/spreader_life_seasons/K24</f>
        <v/>
      </c>
      <c r="L56" s="10">
        <f>spreader_price_usd*usd_rate/spreader_life_seasons/L24</f>
        <v/>
      </c>
      <c r="M56" s="10">
        <f>spreader_price_usd*usd_rate/spreader_life_seasons/M24</f>
        <v/>
      </c>
      <c r="N56" s="10">
        <f>spreader_price_usd*usd_rate/spreader_life_seasons/N24</f>
        <v/>
      </c>
      <c r="O56" s="10">
        <f>spreader_price_usd*usd_rate/spreader_life_seasons/O24</f>
        <v/>
      </c>
      <c r="P56" s="10">
        <f>spreader_price_usd*usd_rate/spreader_life_seasons/P24</f>
        <v/>
      </c>
      <c r="Q56" s="10">
        <f>spreader_price_usd*usd_rate/spreader_life_seasons/Q24</f>
        <v/>
      </c>
      <c r="R56" s="10">
        <f>spreader_price_usd*usd_rate/spreader_life_seasons/R24</f>
        <v/>
      </c>
      <c r="S56" s="10">
        <f>spreader_price_usd*usd_rate/spreader_life_seasons/S24</f>
        <v/>
      </c>
      <c r="T56" s="10">
        <f>spreader_price_usd*usd_rate/spreader_life_seasons/T24</f>
        <v/>
      </c>
      <c r="U56" s="10">
        <f>spreader_price_usd*usd_rate/spreader_life_seasons/U24</f>
        <v/>
      </c>
      <c r="V56" s="10">
        <f>spreader_price_usd*usd_rate/spreader_life_seasons/V24</f>
        <v/>
      </c>
      <c r="W56" s="10">
        <f>spreader_price_usd*usd_rate/spreader_life_seasons/W24</f>
        <v/>
      </c>
      <c r="X56" s="10">
        <f>spreader_price_usd*usd_rate/spreader_life_seasons/X24</f>
        <v/>
      </c>
      <c r="Y56" s="10">
        <f>spreader_price_usd*usd_rate/spreader_life_seasons/Y24</f>
        <v/>
      </c>
      <c r="Z56" s="10">
        <f>spreader_price_usd*usd_rate/spreader_life_seasons/Z24</f>
        <v/>
      </c>
      <c r="AA56" s="10">
        <f>spreader_price_usd*usd_rate/spreader_life_seasons/AA24</f>
        <v/>
      </c>
      <c r="AB56" s="10">
        <f>spreader_price_usd*usd_rate/spreader_life_seasons/AB24</f>
        <v/>
      </c>
      <c r="AC56" s="10">
        <f>spreader_price_usd*usd_rate/spreader_life_seasons/AC24</f>
        <v/>
      </c>
      <c r="AD56" s="10">
        <f>spreader_price_usd*usd_rate/spreader_life_seasons/AD24</f>
        <v/>
      </c>
      <c r="AE56" s="10">
        <f>spreader_price_usd*usd_rate/spreader_life_seasons/AE24</f>
        <v/>
      </c>
      <c r="AF56" s="10">
        <f>spreader_price_usd*usd_rate/spreader_life_seasons/AF24</f>
        <v/>
      </c>
      <c r="AG56" s="10">
        <f>spreader_price_usd*usd_rate/spreader_life_seasons/AG24</f>
        <v/>
      </c>
      <c r="AH56" s="10">
        <f>spreader_price_usd*usd_rate/spreader_life_seasons/AH24</f>
        <v/>
      </c>
      <c r="AI56" s="10">
        <f>spreader_price_usd*usd_rate/spreader_life_seasons/AI24</f>
        <v/>
      </c>
    </row>
    <row r="57">
      <c r="A57" t="inlineStr">
        <is>
          <t>Амортизация дрона (зимняя доля)</t>
        </is>
      </c>
      <c r="B57" t="inlineStr">
        <is>
          <t>сум</t>
        </is>
      </c>
      <c r="C57" s="10">
        <f>drone_price_usd*usd_rate/drone_life_years*drone_dep_winter_share/C24</f>
        <v/>
      </c>
      <c r="D57" s="10">
        <f>drone_price_usd*usd_rate/drone_life_years*drone_dep_winter_share/D24</f>
        <v/>
      </c>
      <c r="E57" s="10">
        <f>drone_price_usd*usd_rate/drone_life_years*drone_dep_winter_share/E24</f>
        <v/>
      </c>
      <c r="F57" s="10">
        <f>drone_price_usd*usd_rate/drone_life_years*drone_dep_winter_share/F24</f>
        <v/>
      </c>
      <c r="G57" s="10">
        <f>drone_price_usd*usd_rate/drone_life_years*drone_dep_winter_share/G24</f>
        <v/>
      </c>
      <c r="H57" s="10">
        <f>drone_price_usd*usd_rate/drone_life_years*drone_dep_winter_share/H24</f>
        <v/>
      </c>
      <c r="I57" s="10">
        <f>drone_price_usd*usd_rate/drone_life_years*drone_dep_winter_share/I24</f>
        <v/>
      </c>
      <c r="J57" s="10">
        <f>drone_price_usd*usd_rate/drone_life_years*drone_dep_winter_share/J24</f>
        <v/>
      </c>
      <c r="K57" s="10">
        <f>drone_price_usd*usd_rate/drone_life_years*drone_dep_winter_share/K24</f>
        <v/>
      </c>
      <c r="L57" s="10">
        <f>drone_price_usd*usd_rate/drone_life_years*drone_dep_winter_share/L24</f>
        <v/>
      </c>
      <c r="M57" s="10">
        <f>drone_price_usd*usd_rate/drone_life_years*drone_dep_winter_share/M24</f>
        <v/>
      </c>
      <c r="N57" s="10">
        <f>drone_price_usd*usd_rate/drone_life_years*drone_dep_winter_share/N24</f>
        <v/>
      </c>
      <c r="O57" s="10">
        <f>drone_price_usd*usd_rate/drone_life_years*drone_dep_winter_share/O24</f>
        <v/>
      </c>
      <c r="P57" s="10">
        <f>drone_price_usd*usd_rate/drone_life_years*drone_dep_winter_share/P24</f>
        <v/>
      </c>
      <c r="Q57" s="10">
        <f>drone_price_usd*usd_rate/drone_life_years*drone_dep_winter_share/Q24</f>
        <v/>
      </c>
      <c r="R57" s="10">
        <f>drone_price_usd*usd_rate/drone_life_years*drone_dep_winter_share/R24</f>
        <v/>
      </c>
      <c r="S57" s="10">
        <f>drone_price_usd*usd_rate/drone_life_years*drone_dep_winter_share/S24</f>
        <v/>
      </c>
      <c r="T57" s="10">
        <f>drone_price_usd*usd_rate/drone_life_years*drone_dep_winter_share/T24</f>
        <v/>
      </c>
      <c r="U57" s="10">
        <f>drone_price_usd*usd_rate/drone_life_years*drone_dep_winter_share/U24</f>
        <v/>
      </c>
      <c r="V57" s="10">
        <f>drone_price_usd*usd_rate/drone_life_years*drone_dep_winter_share/V24</f>
        <v/>
      </c>
      <c r="W57" s="10">
        <f>drone_price_usd*usd_rate/drone_life_years*drone_dep_winter_share/W24</f>
        <v/>
      </c>
      <c r="X57" s="10">
        <f>drone_price_usd*usd_rate/drone_life_years*drone_dep_winter_share/X24</f>
        <v/>
      </c>
      <c r="Y57" s="10">
        <f>drone_price_usd*usd_rate/drone_life_years*drone_dep_winter_share/Y24</f>
        <v/>
      </c>
      <c r="Z57" s="10">
        <f>drone_price_usd*usd_rate/drone_life_years*drone_dep_winter_share/Z24</f>
        <v/>
      </c>
      <c r="AA57" s="10">
        <f>drone_price_usd*usd_rate/drone_life_years*drone_dep_winter_share/AA24</f>
        <v/>
      </c>
      <c r="AB57" s="10">
        <f>drone_price_usd*usd_rate/drone_life_years*drone_dep_winter_share/AB24</f>
        <v/>
      </c>
      <c r="AC57" s="10">
        <f>drone_price_usd*usd_rate/drone_life_years*drone_dep_winter_share/AC24</f>
        <v/>
      </c>
      <c r="AD57" s="10">
        <f>drone_price_usd*usd_rate/drone_life_years*drone_dep_winter_share/AD24</f>
        <v/>
      </c>
      <c r="AE57" s="10">
        <f>drone_price_usd*usd_rate/drone_life_years*drone_dep_winter_share/AE24</f>
        <v/>
      </c>
      <c r="AF57" s="10">
        <f>drone_price_usd*usd_rate/drone_life_years*drone_dep_winter_share/AF24</f>
        <v/>
      </c>
      <c r="AG57" s="10">
        <f>drone_price_usd*usd_rate/drone_life_years*drone_dep_winter_share/AG24</f>
        <v/>
      </c>
      <c r="AH57" s="10">
        <f>drone_price_usd*usd_rate/drone_life_years*drone_dep_winter_share/AH24</f>
        <v/>
      </c>
      <c r="AI57" s="10">
        <f>drone_price_usd*usd_rate/drone_life_years*drone_dep_winter_share/AI24</f>
        <v/>
      </c>
    </row>
    <row r="58">
      <c r="A58" t="inlineStr">
        <is>
          <t>Итого за день</t>
        </is>
      </c>
      <c r="B58" t="inlineStr">
        <is>
          <t>сум</t>
        </is>
      </c>
      <c r="C58" s="10">
        <f>C54+C55+C56+C57</f>
        <v/>
      </c>
      <c r="D58" s="10">
        <f>D54+D55+D56+D57</f>
        <v/>
      </c>
      <c r="E58" s="10">
        <f>E54+E55+E56+E57</f>
        <v/>
      </c>
      <c r="F58" s="10">
        <f>F54+F55+F56+F57</f>
        <v/>
      </c>
      <c r="G58" s="10">
        <f>G54+G55+G56+G57</f>
        <v/>
      </c>
      <c r="H58" s="10">
        <f>H54+H55+H56+H57</f>
        <v/>
      </c>
      <c r="I58" s="10">
        <f>I54+I55+I56+I57</f>
        <v/>
      </c>
      <c r="J58" s="10">
        <f>J54+J55+J56+J57</f>
        <v/>
      </c>
      <c r="K58" s="10">
        <f>K54+K55+K56+K57</f>
        <v/>
      </c>
      <c r="L58" s="10">
        <f>L54+L55+L56+L57</f>
        <v/>
      </c>
      <c r="M58" s="10">
        <f>M54+M55+M56+M57</f>
        <v/>
      </c>
      <c r="N58" s="10">
        <f>N54+N55+N56+N57</f>
        <v/>
      </c>
      <c r="O58" s="10">
        <f>O54+O55+O56+O57</f>
        <v/>
      </c>
      <c r="P58" s="10">
        <f>P54+P55+P56+P57</f>
        <v/>
      </c>
      <c r="Q58" s="10">
        <f>Q54+Q55+Q56+Q57</f>
        <v/>
      </c>
      <c r="R58" s="10">
        <f>R54+R55+R56+R57</f>
        <v/>
      </c>
      <c r="S58" s="10">
        <f>S54+S55+S56+S57</f>
        <v/>
      </c>
      <c r="T58" s="10">
        <f>T54+T55+T56+T57</f>
        <v/>
      </c>
      <c r="U58" s="10">
        <f>U54+U55+U56+U57</f>
        <v/>
      </c>
      <c r="V58" s="10">
        <f>V54+V55+V56+V57</f>
        <v/>
      </c>
      <c r="W58" s="10">
        <f>W54+W55+W56+W57</f>
        <v/>
      </c>
      <c r="X58" s="10">
        <f>X54+X55+X56+X57</f>
        <v/>
      </c>
      <c r="Y58" s="10">
        <f>Y54+Y55+Y56+Y57</f>
        <v/>
      </c>
      <c r="Z58" s="10">
        <f>Z54+Z55+Z56+Z57</f>
        <v/>
      </c>
      <c r="AA58" s="10">
        <f>AA54+AA55+AA56+AA57</f>
        <v/>
      </c>
      <c r="AB58" s="10">
        <f>AB54+AB55+AB56+AB57</f>
        <v/>
      </c>
      <c r="AC58" s="10">
        <f>AC54+AC55+AC56+AC57</f>
        <v/>
      </c>
      <c r="AD58" s="10">
        <f>AD54+AD55+AD56+AD57</f>
        <v/>
      </c>
      <c r="AE58" s="10">
        <f>AE54+AE55+AE56+AE57</f>
        <v/>
      </c>
      <c r="AF58" s="10">
        <f>AF54+AF55+AF56+AF57</f>
        <v/>
      </c>
      <c r="AG58" s="10">
        <f>AG54+AG55+AG56+AG57</f>
        <v/>
      </c>
      <c r="AH58" s="10">
        <f>AH54+AH55+AH56+AH57</f>
        <v/>
      </c>
      <c r="AI58" s="10">
        <f>AI54+AI55+AI56+AI57</f>
        <v/>
      </c>
    </row>
    <row r="59">
      <c r="A59" s="3" t="inlineStr">
        <is>
          <t>СЕБЕСТОИМОСТЬ И ТАРИФ НА ГЕКТАР</t>
        </is>
      </c>
      <c r="B59" s="2" t="inlineStr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</row>
    <row r="60">
      <c r="A60" t="inlineStr">
        <is>
          <t>Батареи, бензин, износ</t>
        </is>
      </c>
      <c r="B60" t="inlineStr">
        <is>
          <t>сум/га</t>
        </is>
      </c>
      <c r="C60" s="10">
        <f>C52*C35</f>
        <v/>
      </c>
      <c r="D60" s="10">
        <f>D52*D35</f>
        <v/>
      </c>
      <c r="E60" s="10">
        <f>E52*E35</f>
        <v/>
      </c>
      <c r="F60" s="10">
        <f>F52*F35</f>
        <v/>
      </c>
      <c r="G60" s="10">
        <f>G52*G35</f>
        <v/>
      </c>
      <c r="H60" s="10">
        <f>H52*H35</f>
        <v/>
      </c>
      <c r="I60" s="10">
        <f>I52*I35</f>
        <v/>
      </c>
      <c r="J60" s="10">
        <f>J52*J35</f>
        <v/>
      </c>
      <c r="K60" s="10">
        <f>K52*K35</f>
        <v/>
      </c>
      <c r="L60" s="10">
        <f>L52*L35</f>
        <v/>
      </c>
      <c r="M60" s="10">
        <f>M52*M35</f>
        <v/>
      </c>
      <c r="N60" s="10">
        <f>N52*N35</f>
        <v/>
      </c>
      <c r="O60" s="10">
        <f>O52*O35</f>
        <v/>
      </c>
      <c r="P60" s="10">
        <f>P52*P35</f>
        <v/>
      </c>
      <c r="Q60" s="10">
        <f>Q52*Q35</f>
        <v/>
      </c>
      <c r="R60" s="10">
        <f>R52*R35</f>
        <v/>
      </c>
      <c r="S60" s="10">
        <f>S52*S35</f>
        <v/>
      </c>
      <c r="T60" s="10">
        <f>T52*T35</f>
        <v/>
      </c>
      <c r="U60" s="10">
        <f>U52*U35</f>
        <v/>
      </c>
      <c r="V60" s="10">
        <f>V52*V35</f>
        <v/>
      </c>
      <c r="W60" s="10">
        <f>W52*W35</f>
        <v/>
      </c>
      <c r="X60" s="10">
        <f>X52*X35</f>
        <v/>
      </c>
      <c r="Y60" s="10">
        <f>Y52*Y35</f>
        <v/>
      </c>
      <c r="Z60" s="10">
        <f>Z52*Z35</f>
        <v/>
      </c>
      <c r="AA60" s="10">
        <f>AA52*AA35</f>
        <v/>
      </c>
      <c r="AB60" s="10">
        <f>AB52*AB35</f>
        <v/>
      </c>
      <c r="AC60" s="10">
        <f>AC52*AC35</f>
        <v/>
      </c>
      <c r="AD60" s="10">
        <f>AD52*AD35</f>
        <v/>
      </c>
      <c r="AE60" s="10">
        <f>AE52*AE35</f>
        <v/>
      </c>
      <c r="AF60" s="10">
        <f>AF52*AF35</f>
        <v/>
      </c>
      <c r="AG60" s="10">
        <f>AG52*AG35</f>
        <v/>
      </c>
      <c r="AH60" s="10">
        <f>AH52*AH35</f>
        <v/>
      </c>
      <c r="AI60" s="10">
        <f>AI52*AI35</f>
        <v/>
      </c>
    </row>
    <row r="61">
      <c r="A61" t="inlineStr">
        <is>
          <t>Экипаж, транспорт, прочее</t>
        </is>
      </c>
      <c r="B61" t="inlineStr">
        <is>
          <t>сум/га</t>
        </is>
      </c>
      <c r="C61" s="10">
        <f>C54/C42</f>
        <v/>
      </c>
      <c r="D61" s="10">
        <f>D54/D42</f>
        <v/>
      </c>
      <c r="E61" s="10">
        <f>E54/E42</f>
        <v/>
      </c>
      <c r="F61" s="10">
        <f>F54/F42</f>
        <v/>
      </c>
      <c r="G61" s="10">
        <f>G54/G42</f>
        <v/>
      </c>
      <c r="H61" s="10">
        <f>H54/H42</f>
        <v/>
      </c>
      <c r="I61" s="10">
        <f>I54/I42</f>
        <v/>
      </c>
      <c r="J61" s="10">
        <f>J54/J42</f>
        <v/>
      </c>
      <c r="K61" s="10">
        <f>K54/K42</f>
        <v/>
      </c>
      <c r="L61" s="10">
        <f>L54/L42</f>
        <v/>
      </c>
      <c r="M61" s="10">
        <f>M54/M42</f>
        <v/>
      </c>
      <c r="N61" s="10">
        <f>N54/N42</f>
        <v/>
      </c>
      <c r="O61" s="10">
        <f>O54/O42</f>
        <v/>
      </c>
      <c r="P61" s="10">
        <f>P54/P42</f>
        <v/>
      </c>
      <c r="Q61" s="10">
        <f>Q54/Q42</f>
        <v/>
      </c>
      <c r="R61" s="10">
        <f>R54/R42</f>
        <v/>
      </c>
      <c r="S61" s="10">
        <f>S54/S42</f>
        <v/>
      </c>
      <c r="T61" s="10">
        <f>T54/T42</f>
        <v/>
      </c>
      <c r="U61" s="10">
        <f>U54/U42</f>
        <v/>
      </c>
      <c r="V61" s="10">
        <f>V54/V42</f>
        <v/>
      </c>
      <c r="W61" s="10">
        <f>W54/W42</f>
        <v/>
      </c>
      <c r="X61" s="10">
        <f>X54/X42</f>
        <v/>
      </c>
      <c r="Y61" s="10">
        <f>Y54/Y42</f>
        <v/>
      </c>
      <c r="Z61" s="10">
        <f>Z54/Z42</f>
        <v/>
      </c>
      <c r="AA61" s="10">
        <f>AA54/AA42</f>
        <v/>
      </c>
      <c r="AB61" s="10">
        <f>AB54/AB42</f>
        <v/>
      </c>
      <c r="AC61" s="10">
        <f>AC54/AC42</f>
        <v/>
      </c>
      <c r="AD61" s="10">
        <f>AD54/AD42</f>
        <v/>
      </c>
      <c r="AE61" s="10">
        <f>AE54/AE42</f>
        <v/>
      </c>
      <c r="AF61" s="10">
        <f>AF54/AF42</f>
        <v/>
      </c>
      <c r="AG61" s="10">
        <f>AG54/AG42</f>
        <v/>
      </c>
      <c r="AH61" s="10">
        <f>AH54/AH42</f>
        <v/>
      </c>
      <c r="AI61" s="10">
        <f>AI54/AI42</f>
        <v/>
      </c>
    </row>
    <row r="62">
      <c r="A62" t="inlineStr">
        <is>
          <t>Амортизация разбрасывателя</t>
        </is>
      </c>
      <c r="B62" t="inlineStr">
        <is>
          <t>сум/га</t>
        </is>
      </c>
      <c r="C62" s="10">
        <f>C56/C42</f>
        <v/>
      </c>
      <c r="D62" s="10">
        <f>D56/D42</f>
        <v/>
      </c>
      <c r="E62" s="10">
        <f>E56/E42</f>
        <v/>
      </c>
      <c r="F62" s="10">
        <f>F56/F42</f>
        <v/>
      </c>
      <c r="G62" s="10">
        <f>G56/G42</f>
        <v/>
      </c>
      <c r="H62" s="10">
        <f>H56/H42</f>
        <v/>
      </c>
      <c r="I62" s="10">
        <f>I56/I42</f>
        <v/>
      </c>
      <c r="J62" s="10">
        <f>J56/J42</f>
        <v/>
      </c>
      <c r="K62" s="10">
        <f>K56/K42</f>
        <v/>
      </c>
      <c r="L62" s="10">
        <f>L56/L42</f>
        <v/>
      </c>
      <c r="M62" s="10">
        <f>M56/M42</f>
        <v/>
      </c>
      <c r="N62" s="10">
        <f>N56/N42</f>
        <v/>
      </c>
      <c r="O62" s="10">
        <f>O56/O42</f>
        <v/>
      </c>
      <c r="P62" s="10">
        <f>P56/P42</f>
        <v/>
      </c>
      <c r="Q62" s="10">
        <f>Q56/Q42</f>
        <v/>
      </c>
      <c r="R62" s="10">
        <f>R56/R42</f>
        <v/>
      </c>
      <c r="S62" s="10">
        <f>S56/S42</f>
        <v/>
      </c>
      <c r="T62" s="10">
        <f>T56/T42</f>
        <v/>
      </c>
      <c r="U62" s="10">
        <f>U56/U42</f>
        <v/>
      </c>
      <c r="V62" s="10">
        <f>V56/V42</f>
        <v/>
      </c>
      <c r="W62" s="10">
        <f>W56/W42</f>
        <v/>
      </c>
      <c r="X62" s="10">
        <f>X56/X42</f>
        <v/>
      </c>
      <c r="Y62" s="10">
        <f>Y56/Y42</f>
        <v/>
      </c>
      <c r="Z62" s="10">
        <f>Z56/Z42</f>
        <v/>
      </c>
      <c r="AA62" s="10">
        <f>AA56/AA42</f>
        <v/>
      </c>
      <c r="AB62" s="10">
        <f>AB56/AB42</f>
        <v/>
      </c>
      <c r="AC62" s="10">
        <f>AC56/AC42</f>
        <v/>
      </c>
      <c r="AD62" s="10">
        <f>AD56/AD42</f>
        <v/>
      </c>
      <c r="AE62" s="10">
        <f>AE56/AE42</f>
        <v/>
      </c>
      <c r="AF62" s="10">
        <f>AF56/AF42</f>
        <v/>
      </c>
      <c r="AG62" s="10">
        <f>AG56/AG42</f>
        <v/>
      </c>
      <c r="AH62" s="10">
        <f>AH56/AH42</f>
        <v/>
      </c>
      <c r="AI62" s="10">
        <f>AI56/AI42</f>
        <v/>
      </c>
    </row>
    <row r="63">
      <c r="A63" t="inlineStr">
        <is>
          <t>Амортизация дрона (зимняя доля)</t>
        </is>
      </c>
      <c r="B63" t="inlineStr">
        <is>
          <t>сум/га</t>
        </is>
      </c>
      <c r="C63" s="10">
        <f>C57/C42</f>
        <v/>
      </c>
      <c r="D63" s="10">
        <f>D57/D42</f>
        <v/>
      </c>
      <c r="E63" s="10">
        <f>E57/E42</f>
        <v/>
      </c>
      <c r="F63" s="10">
        <f>F57/F42</f>
        <v/>
      </c>
      <c r="G63" s="10">
        <f>G57/G42</f>
        <v/>
      </c>
      <c r="H63" s="10">
        <f>H57/H42</f>
        <v/>
      </c>
      <c r="I63" s="10">
        <f>I57/I42</f>
        <v/>
      </c>
      <c r="J63" s="10">
        <f>J57/J42</f>
        <v/>
      </c>
      <c r="K63" s="10">
        <f>K57/K42</f>
        <v/>
      </c>
      <c r="L63" s="10">
        <f>L57/L42</f>
        <v/>
      </c>
      <c r="M63" s="10">
        <f>M57/M42</f>
        <v/>
      </c>
      <c r="N63" s="10">
        <f>N57/N42</f>
        <v/>
      </c>
      <c r="O63" s="10">
        <f>O57/O42</f>
        <v/>
      </c>
      <c r="P63" s="10">
        <f>P57/P42</f>
        <v/>
      </c>
      <c r="Q63" s="10">
        <f>Q57/Q42</f>
        <v/>
      </c>
      <c r="R63" s="10">
        <f>R57/R42</f>
        <v/>
      </c>
      <c r="S63" s="10">
        <f>S57/S42</f>
        <v/>
      </c>
      <c r="T63" s="10">
        <f>T57/T42</f>
        <v/>
      </c>
      <c r="U63" s="10">
        <f>U57/U42</f>
        <v/>
      </c>
      <c r="V63" s="10">
        <f>V57/V42</f>
        <v/>
      </c>
      <c r="W63" s="10">
        <f>W57/W42</f>
        <v/>
      </c>
      <c r="X63" s="10">
        <f>X57/X42</f>
        <v/>
      </c>
      <c r="Y63" s="10">
        <f>Y57/Y42</f>
        <v/>
      </c>
      <c r="Z63" s="10">
        <f>Z57/Z42</f>
        <v/>
      </c>
      <c r="AA63" s="10">
        <f>AA57/AA42</f>
        <v/>
      </c>
      <c r="AB63" s="10">
        <f>AB57/AB42</f>
        <v/>
      </c>
      <c r="AC63" s="10">
        <f>AC57/AC42</f>
        <v/>
      </c>
      <c r="AD63" s="10">
        <f>AD57/AD42</f>
        <v/>
      </c>
      <c r="AE63" s="10">
        <f>AE57/AE42</f>
        <v/>
      </c>
      <c r="AF63" s="10">
        <f>AF57/AF42</f>
        <v/>
      </c>
      <c r="AG63" s="10">
        <f>AG57/AG42</f>
        <v/>
      </c>
      <c r="AH63" s="10">
        <f>AH57/AH42</f>
        <v/>
      </c>
      <c r="AI63" s="10">
        <f>AI57/AI42</f>
        <v/>
      </c>
    </row>
    <row r="64">
      <c r="A64" s="1" t="inlineStr">
        <is>
          <t>ПРЯМАЯ СЕБЕСТОИМОСТЬ ГЕКТАРА</t>
        </is>
      </c>
      <c r="B64" t="inlineStr">
        <is>
          <t>сум/га</t>
        </is>
      </c>
      <c r="C64" s="12">
        <f>C60+C61+C62+C63</f>
        <v/>
      </c>
      <c r="D64" s="12">
        <f>D60+D61+D62+D63</f>
        <v/>
      </c>
      <c r="E64" s="12">
        <f>E60+E61+E62+E63</f>
        <v/>
      </c>
      <c r="F64" s="12">
        <f>F60+F61+F62+F63</f>
        <v/>
      </c>
      <c r="G64" s="12">
        <f>G60+G61+G62+G63</f>
        <v/>
      </c>
      <c r="H64" s="12">
        <f>H60+H61+H62+H63</f>
        <v/>
      </c>
      <c r="I64" s="12">
        <f>I60+I61+I62+I63</f>
        <v/>
      </c>
      <c r="J64" s="12">
        <f>J60+J61+J62+J63</f>
        <v/>
      </c>
      <c r="K64" s="12">
        <f>K60+K61+K62+K63</f>
        <v/>
      </c>
      <c r="L64" s="12">
        <f>L60+L61+L62+L63</f>
        <v/>
      </c>
      <c r="M64" s="12">
        <f>M60+M61+M62+M63</f>
        <v/>
      </c>
      <c r="N64" s="12">
        <f>N60+N61+N62+N63</f>
        <v/>
      </c>
      <c r="O64" s="12">
        <f>O60+O61+O62+O63</f>
        <v/>
      </c>
      <c r="P64" s="12">
        <f>P60+P61+P62+P63</f>
        <v/>
      </c>
      <c r="Q64" s="12">
        <f>Q60+Q61+Q62+Q63</f>
        <v/>
      </c>
      <c r="R64" s="12">
        <f>R60+R61+R62+R63</f>
        <v/>
      </c>
      <c r="S64" s="12">
        <f>S60+S61+S62+S63</f>
        <v/>
      </c>
      <c r="T64" s="12">
        <f>T60+T61+T62+T63</f>
        <v/>
      </c>
      <c r="U64" s="12">
        <f>U60+U61+U62+U63</f>
        <v/>
      </c>
      <c r="V64" s="12">
        <f>V60+V61+V62+V63</f>
        <v/>
      </c>
      <c r="W64" s="12">
        <f>W60+W61+W62+W63</f>
        <v/>
      </c>
      <c r="X64" s="12">
        <f>X60+X61+X62+X63</f>
        <v/>
      </c>
      <c r="Y64" s="12">
        <f>Y60+Y61+Y62+Y63</f>
        <v/>
      </c>
      <c r="Z64" s="12">
        <f>Z60+Z61+Z62+Z63</f>
        <v/>
      </c>
      <c r="AA64" s="12">
        <f>AA60+AA61+AA62+AA63</f>
        <v/>
      </c>
      <c r="AB64" s="12">
        <f>AB60+AB61+AB62+AB63</f>
        <v/>
      </c>
      <c r="AC64" s="12">
        <f>AC60+AC61+AC62+AC63</f>
        <v/>
      </c>
      <c r="AD64" s="12">
        <f>AD60+AD61+AD62+AD63</f>
        <v/>
      </c>
      <c r="AE64" s="12">
        <f>AE60+AE61+AE62+AE63</f>
        <v/>
      </c>
      <c r="AF64" s="12">
        <f>AF60+AF61+AF62+AF63</f>
        <v/>
      </c>
      <c r="AG64" s="12">
        <f>AG60+AG61+AG62+AG63</f>
        <v/>
      </c>
      <c r="AH64" s="12">
        <f>AH60+AH61+AH62+AH63</f>
        <v/>
      </c>
      <c r="AI64" s="12">
        <f>AI60+AI61+AI62+AI63</f>
        <v/>
      </c>
    </row>
    <row r="65">
      <c r="A65" t="inlineStr">
        <is>
          <t>Тариф безубыточности (с накладными, без маржи)</t>
        </is>
      </c>
      <c r="B65" t="inlineStr">
        <is>
          <t>сум/га</t>
        </is>
      </c>
      <c r="C65" s="10">
        <f>C64/(1-overhead_pct)</f>
        <v/>
      </c>
      <c r="D65" s="10">
        <f>D64/(1-overhead_pct)</f>
        <v/>
      </c>
      <c r="E65" s="10">
        <f>E64/(1-overhead_pct)</f>
        <v/>
      </c>
      <c r="F65" s="10">
        <f>F64/(1-overhead_pct)</f>
        <v/>
      </c>
      <c r="G65" s="10">
        <f>G64/(1-overhead_pct)</f>
        <v/>
      </c>
      <c r="H65" s="10">
        <f>H64/(1-overhead_pct)</f>
        <v/>
      </c>
      <c r="I65" s="10">
        <f>I64/(1-overhead_pct)</f>
        <v/>
      </c>
      <c r="J65" s="10">
        <f>J64/(1-overhead_pct)</f>
        <v/>
      </c>
      <c r="K65" s="10">
        <f>K64/(1-overhead_pct)</f>
        <v/>
      </c>
      <c r="L65" s="10">
        <f>L64/(1-overhead_pct)</f>
        <v/>
      </c>
      <c r="M65" s="10">
        <f>M64/(1-overhead_pct)</f>
        <v/>
      </c>
      <c r="N65" s="10">
        <f>N64/(1-overhead_pct)</f>
        <v/>
      </c>
      <c r="O65" s="10">
        <f>O64/(1-overhead_pct)</f>
        <v/>
      </c>
      <c r="P65" s="10">
        <f>P64/(1-overhead_pct)</f>
        <v/>
      </c>
      <c r="Q65" s="10">
        <f>Q64/(1-overhead_pct)</f>
        <v/>
      </c>
      <c r="R65" s="10">
        <f>R64/(1-overhead_pct)</f>
        <v/>
      </c>
      <c r="S65" s="10">
        <f>S64/(1-overhead_pct)</f>
        <v/>
      </c>
      <c r="T65" s="10">
        <f>T64/(1-overhead_pct)</f>
        <v/>
      </c>
      <c r="U65" s="10">
        <f>U64/(1-overhead_pct)</f>
        <v/>
      </c>
      <c r="V65" s="10">
        <f>V64/(1-overhead_pct)</f>
        <v/>
      </c>
      <c r="W65" s="10">
        <f>W64/(1-overhead_pct)</f>
        <v/>
      </c>
      <c r="X65" s="10">
        <f>X64/(1-overhead_pct)</f>
        <v/>
      </c>
      <c r="Y65" s="10">
        <f>Y64/(1-overhead_pct)</f>
        <v/>
      </c>
      <c r="Z65" s="10">
        <f>Z64/(1-overhead_pct)</f>
        <v/>
      </c>
      <c r="AA65" s="10">
        <f>AA64/(1-overhead_pct)</f>
        <v/>
      </c>
      <c r="AB65" s="10">
        <f>AB64/(1-overhead_pct)</f>
        <v/>
      </c>
      <c r="AC65" s="10">
        <f>AC64/(1-overhead_pct)</f>
        <v/>
      </c>
      <c r="AD65" s="10">
        <f>AD64/(1-overhead_pct)</f>
        <v/>
      </c>
      <c r="AE65" s="10">
        <f>AE64/(1-overhead_pct)</f>
        <v/>
      </c>
      <c r="AF65" s="10">
        <f>AF64/(1-overhead_pct)</f>
        <v/>
      </c>
      <c r="AG65" s="10">
        <f>AG64/(1-overhead_pct)</f>
        <v/>
      </c>
      <c r="AH65" s="10">
        <f>AH64/(1-overhead_pct)</f>
        <v/>
      </c>
      <c r="AI65" s="10">
        <f>AI64/(1-overhead_pct)</f>
        <v/>
      </c>
    </row>
    <row r="66">
      <c r="A66" s="1" t="inlineStr">
        <is>
          <t>ЦЕЛЕВОЙ ТАРИФ (с накладными и маржой)</t>
        </is>
      </c>
      <c r="B66" t="inlineStr">
        <is>
          <t>сум/га</t>
        </is>
      </c>
      <c r="C66" s="12">
        <f>C64/(1-overhead_pct-target_margin_pct)</f>
        <v/>
      </c>
      <c r="D66" s="12">
        <f>D64/(1-overhead_pct-target_margin_pct)</f>
        <v/>
      </c>
      <c r="E66" s="12">
        <f>E64/(1-overhead_pct-target_margin_pct)</f>
        <v/>
      </c>
      <c r="F66" s="12">
        <f>F64/(1-overhead_pct-target_margin_pct)</f>
        <v/>
      </c>
      <c r="G66" s="12">
        <f>G64/(1-overhead_pct-target_margin_pct)</f>
        <v/>
      </c>
      <c r="H66" s="12">
        <f>H64/(1-overhead_pct-target_margin_pct)</f>
        <v/>
      </c>
      <c r="I66" s="12">
        <f>I64/(1-overhead_pct-target_margin_pct)</f>
        <v/>
      </c>
      <c r="J66" s="12">
        <f>J64/(1-overhead_pct-target_margin_pct)</f>
        <v/>
      </c>
      <c r="K66" s="12">
        <f>K64/(1-overhead_pct-target_margin_pct)</f>
        <v/>
      </c>
      <c r="L66" s="12">
        <f>L64/(1-overhead_pct-target_margin_pct)</f>
        <v/>
      </c>
      <c r="M66" s="12">
        <f>M64/(1-overhead_pct-target_margin_pct)</f>
        <v/>
      </c>
      <c r="N66" s="12">
        <f>N64/(1-overhead_pct-target_margin_pct)</f>
        <v/>
      </c>
      <c r="O66" s="12">
        <f>O64/(1-overhead_pct-target_margin_pct)</f>
        <v/>
      </c>
      <c r="P66" s="12">
        <f>P64/(1-overhead_pct-target_margin_pct)</f>
        <v/>
      </c>
      <c r="Q66" s="12">
        <f>Q64/(1-overhead_pct-target_margin_pct)</f>
        <v/>
      </c>
      <c r="R66" s="12">
        <f>R64/(1-overhead_pct-target_margin_pct)</f>
        <v/>
      </c>
      <c r="S66" s="12">
        <f>S64/(1-overhead_pct-target_margin_pct)</f>
        <v/>
      </c>
      <c r="T66" s="12">
        <f>T64/(1-overhead_pct-target_margin_pct)</f>
        <v/>
      </c>
      <c r="U66" s="12">
        <f>U64/(1-overhead_pct-target_margin_pct)</f>
        <v/>
      </c>
      <c r="V66" s="12">
        <f>V64/(1-overhead_pct-target_margin_pct)</f>
        <v/>
      </c>
      <c r="W66" s="12">
        <f>W64/(1-overhead_pct-target_margin_pct)</f>
        <v/>
      </c>
      <c r="X66" s="12">
        <f>X64/(1-overhead_pct-target_margin_pct)</f>
        <v/>
      </c>
      <c r="Y66" s="12">
        <f>Y64/(1-overhead_pct-target_margin_pct)</f>
        <v/>
      </c>
      <c r="Z66" s="12">
        <f>Z64/(1-overhead_pct-target_margin_pct)</f>
        <v/>
      </c>
      <c r="AA66" s="12">
        <f>AA64/(1-overhead_pct-target_margin_pct)</f>
        <v/>
      </c>
      <c r="AB66" s="12">
        <f>AB64/(1-overhead_pct-target_margin_pct)</f>
        <v/>
      </c>
      <c r="AC66" s="12">
        <f>AC64/(1-overhead_pct-target_margin_pct)</f>
        <v/>
      </c>
      <c r="AD66" s="12">
        <f>AD64/(1-overhead_pct-target_margin_pct)</f>
        <v/>
      </c>
      <c r="AE66" s="12">
        <f>AE64/(1-overhead_pct-target_margin_pct)</f>
        <v/>
      </c>
      <c r="AF66" s="12">
        <f>AF64/(1-overhead_pct-target_margin_pct)</f>
        <v/>
      </c>
      <c r="AG66" s="12">
        <f>AG64/(1-overhead_pct-target_margin_pct)</f>
        <v/>
      </c>
      <c r="AH66" s="12">
        <f>AH64/(1-overhead_pct-target_margin_pct)</f>
        <v/>
      </c>
      <c r="AI66" s="12">
        <f>AI64/(1-overhead_pct-target_margin_pct)</f>
        <v/>
      </c>
    </row>
    <row r="67">
      <c r="A67" t="inlineStr">
        <is>
          <t>Тариф безубыточности за тонну удобрения</t>
        </is>
      </c>
      <c r="B67" t="inlineStr">
        <is>
          <t>сум/т</t>
        </is>
      </c>
      <c r="C67" s="10">
        <f>C65/C2*1000</f>
        <v/>
      </c>
      <c r="D67" s="10">
        <f>D65/D2*1000</f>
        <v/>
      </c>
      <c r="E67" s="10">
        <f>E65/E2*1000</f>
        <v/>
      </c>
      <c r="F67" s="10">
        <f>F65/F2*1000</f>
        <v/>
      </c>
      <c r="G67" s="10">
        <f>G65/G2*1000</f>
        <v/>
      </c>
      <c r="H67" s="10">
        <f>H65/H2*1000</f>
        <v/>
      </c>
      <c r="I67" s="10">
        <f>I65/I2*1000</f>
        <v/>
      </c>
      <c r="J67" s="10">
        <f>J65/J2*1000</f>
        <v/>
      </c>
      <c r="K67" s="10">
        <f>K65/K2*1000</f>
        <v/>
      </c>
      <c r="L67" s="10">
        <f>L65/L2*1000</f>
        <v/>
      </c>
      <c r="M67" s="10">
        <f>M65/M2*1000</f>
        <v/>
      </c>
      <c r="N67" s="10">
        <f>N65/N2*1000</f>
        <v/>
      </c>
      <c r="O67" s="10">
        <f>O65/O2*1000</f>
        <v/>
      </c>
      <c r="P67" s="10">
        <f>P65/P2*1000</f>
        <v/>
      </c>
      <c r="Q67" s="10">
        <f>Q65/Q2*1000</f>
        <v/>
      </c>
      <c r="R67" s="10">
        <f>R65/R2*1000</f>
        <v/>
      </c>
      <c r="S67" s="10">
        <f>S65/S2*1000</f>
        <v/>
      </c>
      <c r="T67" s="10">
        <f>T65/T2*1000</f>
        <v/>
      </c>
      <c r="U67" s="10">
        <f>U65/U2*1000</f>
        <v/>
      </c>
      <c r="V67" s="10">
        <f>V65/V2*1000</f>
        <v/>
      </c>
      <c r="W67" s="10">
        <f>W65/W2*1000</f>
        <v/>
      </c>
      <c r="X67" s="10">
        <f>X65/X2*1000</f>
        <v/>
      </c>
      <c r="Y67" s="10">
        <f>Y65/Y2*1000</f>
        <v/>
      </c>
      <c r="Z67" s="10">
        <f>Z65/Z2*1000</f>
        <v/>
      </c>
      <c r="AA67" s="10">
        <f>AA65/AA2*1000</f>
        <v/>
      </c>
      <c r="AB67" s="10">
        <f>AB65/AB2*1000</f>
        <v/>
      </c>
      <c r="AC67" s="10">
        <f>AC65/AC2*1000</f>
        <v/>
      </c>
      <c r="AD67" s="10">
        <f>AD65/AD2*1000</f>
        <v/>
      </c>
      <c r="AE67" s="10">
        <f>AE65/AE2*1000</f>
        <v/>
      </c>
      <c r="AF67" s="10">
        <f>AF65/AF2*1000</f>
        <v/>
      </c>
      <c r="AG67" s="10">
        <f>AG65/AG2*1000</f>
        <v/>
      </c>
      <c r="AH67" s="10">
        <f>AH65/AH2*1000</f>
        <v/>
      </c>
      <c r="AI67" s="10">
        <f>AI65/AI2*1000</f>
        <v/>
      </c>
    </row>
    <row r="68">
      <c r="A68" s="1" t="inlineStr">
        <is>
          <t>Целевой тариф за тонну удобрения</t>
        </is>
      </c>
      <c r="B68" t="inlineStr">
        <is>
          <t>сум/т</t>
        </is>
      </c>
      <c r="C68" s="12">
        <f>C66/C2*1000</f>
        <v/>
      </c>
      <c r="D68" s="12">
        <f>D66/D2*1000</f>
        <v/>
      </c>
      <c r="E68" s="12">
        <f>E66/E2*1000</f>
        <v/>
      </c>
      <c r="F68" s="12">
        <f>F66/F2*1000</f>
        <v/>
      </c>
      <c r="G68" s="12">
        <f>G66/G2*1000</f>
        <v/>
      </c>
      <c r="H68" s="12">
        <f>H66/H2*1000</f>
        <v/>
      </c>
      <c r="I68" s="12">
        <f>I66/I2*1000</f>
        <v/>
      </c>
      <c r="J68" s="12">
        <f>J66/J2*1000</f>
        <v/>
      </c>
      <c r="K68" s="12">
        <f>K66/K2*1000</f>
        <v/>
      </c>
      <c r="L68" s="12">
        <f>L66/L2*1000</f>
        <v/>
      </c>
      <c r="M68" s="12">
        <f>M66/M2*1000</f>
        <v/>
      </c>
      <c r="N68" s="12">
        <f>N66/N2*1000</f>
        <v/>
      </c>
      <c r="O68" s="12">
        <f>O66/O2*1000</f>
        <v/>
      </c>
      <c r="P68" s="12">
        <f>P66/P2*1000</f>
        <v/>
      </c>
      <c r="Q68" s="12">
        <f>Q66/Q2*1000</f>
        <v/>
      </c>
      <c r="R68" s="12">
        <f>R66/R2*1000</f>
        <v/>
      </c>
      <c r="S68" s="12">
        <f>S66/S2*1000</f>
        <v/>
      </c>
      <c r="T68" s="12">
        <f>T66/T2*1000</f>
        <v/>
      </c>
      <c r="U68" s="12">
        <f>U66/U2*1000</f>
        <v/>
      </c>
      <c r="V68" s="12">
        <f>V66/V2*1000</f>
        <v/>
      </c>
      <c r="W68" s="12">
        <f>W66/W2*1000</f>
        <v/>
      </c>
      <c r="X68" s="12">
        <f>X66/X2*1000</f>
        <v/>
      </c>
      <c r="Y68" s="12">
        <f>Y66/Y2*1000</f>
        <v/>
      </c>
      <c r="Z68" s="12">
        <f>Z66/Z2*1000</f>
        <v/>
      </c>
      <c r="AA68" s="12">
        <f>AA66/AA2*1000</f>
        <v/>
      </c>
      <c r="AB68" s="12">
        <f>AB66/AB2*1000</f>
        <v/>
      </c>
      <c r="AC68" s="12">
        <f>AC66/AC2*1000</f>
        <v/>
      </c>
      <c r="AD68" s="12">
        <f>AD66/AD2*1000</f>
        <v/>
      </c>
      <c r="AE68" s="12">
        <f>AE66/AE2*1000</f>
        <v/>
      </c>
      <c r="AF68" s="12">
        <f>AF66/AF2*1000</f>
        <v/>
      </c>
      <c r="AG68" s="12">
        <f>AG66/AG2*1000</f>
        <v/>
      </c>
      <c r="AH68" s="12">
        <f>AH66/AH2*1000</f>
        <v/>
      </c>
      <c r="AI68" s="12">
        <f>AI66/AI2*1000</f>
        <v/>
      </c>
    </row>
    <row r="69">
      <c r="A69" t="inlineStr">
        <is>
          <t>Выручка за день по целевому тарифу</t>
        </is>
      </c>
      <c r="B69" t="inlineStr">
        <is>
          <t>сум</t>
        </is>
      </c>
      <c r="C69" s="10">
        <f>C66*C42</f>
        <v/>
      </c>
      <c r="D69" s="10">
        <f>D66*D42</f>
        <v/>
      </c>
      <c r="E69" s="10">
        <f>E66*E42</f>
        <v/>
      </c>
      <c r="F69" s="10">
        <f>F66*F42</f>
        <v/>
      </c>
      <c r="G69" s="10">
        <f>G66*G42</f>
        <v/>
      </c>
      <c r="H69" s="10">
        <f>H66*H42</f>
        <v/>
      </c>
      <c r="I69" s="10">
        <f>I66*I42</f>
        <v/>
      </c>
      <c r="J69" s="10">
        <f>J66*J42</f>
        <v/>
      </c>
      <c r="K69" s="10">
        <f>K66*K42</f>
        <v/>
      </c>
      <c r="L69" s="10">
        <f>L66*L42</f>
        <v/>
      </c>
      <c r="M69" s="10">
        <f>M66*M42</f>
        <v/>
      </c>
      <c r="N69" s="10">
        <f>N66*N42</f>
        <v/>
      </c>
      <c r="O69" s="10">
        <f>O66*O42</f>
        <v/>
      </c>
      <c r="P69" s="10">
        <f>P66*P42</f>
        <v/>
      </c>
      <c r="Q69" s="10">
        <f>Q66*Q42</f>
        <v/>
      </c>
      <c r="R69" s="10">
        <f>R66*R42</f>
        <v/>
      </c>
      <c r="S69" s="10">
        <f>S66*S42</f>
        <v/>
      </c>
      <c r="T69" s="10">
        <f>T66*T42</f>
        <v/>
      </c>
      <c r="U69" s="10">
        <f>U66*U42</f>
        <v/>
      </c>
      <c r="V69" s="10">
        <f>V66*V42</f>
        <v/>
      </c>
      <c r="W69" s="10">
        <f>W66*W42</f>
        <v/>
      </c>
      <c r="X69" s="10">
        <f>X66*X42</f>
        <v/>
      </c>
      <c r="Y69" s="10">
        <f>Y66*Y42</f>
        <v/>
      </c>
      <c r="Z69" s="10">
        <f>Z66*Z42</f>
        <v/>
      </c>
      <c r="AA69" s="10">
        <f>AA66*AA42</f>
        <v/>
      </c>
      <c r="AB69" s="10">
        <f>AB66*AB42</f>
        <v/>
      </c>
      <c r="AC69" s="10">
        <f>AC66*AC42</f>
        <v/>
      </c>
      <c r="AD69" s="10">
        <f>AD66*AD42</f>
        <v/>
      </c>
      <c r="AE69" s="10">
        <f>AE66*AE42</f>
        <v/>
      </c>
      <c r="AF69" s="10">
        <f>AF66*AF42</f>
        <v/>
      </c>
      <c r="AG69" s="10">
        <f>AG66*AG42</f>
        <v/>
      </c>
      <c r="AH69" s="10">
        <f>AH66*AH42</f>
        <v/>
      </c>
      <c r="AI69" s="10">
        <f>AI66*AI42</f>
        <v/>
      </c>
    </row>
    <row r="70">
      <c r="A70" t="inlineStr">
        <is>
          <t>Маржа за день по целевому тарифу</t>
        </is>
      </c>
      <c r="B70" t="inlineStr">
        <is>
          <t>сум</t>
        </is>
      </c>
      <c r="C70" s="10">
        <f>C69-C58-C69*overhead_pct</f>
        <v/>
      </c>
      <c r="D70" s="10">
        <f>D69-D58-D69*overhead_pct</f>
        <v/>
      </c>
      <c r="E70" s="10">
        <f>E69-E58-E69*overhead_pct</f>
        <v/>
      </c>
      <c r="F70" s="10">
        <f>F69-F58-F69*overhead_pct</f>
        <v/>
      </c>
      <c r="G70" s="10">
        <f>G69-G58-G69*overhead_pct</f>
        <v/>
      </c>
      <c r="H70" s="10">
        <f>H69-H58-H69*overhead_pct</f>
        <v/>
      </c>
      <c r="I70" s="10">
        <f>I69-I58-I69*overhead_pct</f>
        <v/>
      </c>
      <c r="J70" s="10">
        <f>J69-J58-J69*overhead_pct</f>
        <v/>
      </c>
      <c r="K70" s="10">
        <f>K69-K58-K69*overhead_pct</f>
        <v/>
      </c>
      <c r="L70" s="10">
        <f>L69-L58-L69*overhead_pct</f>
        <v/>
      </c>
      <c r="M70" s="10">
        <f>M69-M58-M69*overhead_pct</f>
        <v/>
      </c>
      <c r="N70" s="10">
        <f>N69-N58-N69*overhead_pct</f>
        <v/>
      </c>
      <c r="O70" s="10">
        <f>O69-O58-O69*overhead_pct</f>
        <v/>
      </c>
      <c r="P70" s="10">
        <f>P69-P58-P69*overhead_pct</f>
        <v/>
      </c>
      <c r="Q70" s="10">
        <f>Q69-Q58-Q69*overhead_pct</f>
        <v/>
      </c>
      <c r="R70" s="10">
        <f>R69-R58-R69*overhead_pct</f>
        <v/>
      </c>
      <c r="S70" s="10">
        <f>S69-S58-S69*overhead_pct</f>
        <v/>
      </c>
      <c r="T70" s="10">
        <f>T69-T58-T69*overhead_pct</f>
        <v/>
      </c>
      <c r="U70" s="10">
        <f>U69-U58-U69*overhead_pct</f>
        <v/>
      </c>
      <c r="V70" s="10">
        <f>V69-V58-V69*overhead_pct</f>
        <v/>
      </c>
      <c r="W70" s="10">
        <f>W69-W58-W69*overhead_pct</f>
        <v/>
      </c>
      <c r="X70" s="10">
        <f>X69-X58-X69*overhead_pct</f>
        <v/>
      </c>
      <c r="Y70" s="10">
        <f>Y69-Y58-Y69*overhead_pct</f>
        <v/>
      </c>
      <c r="Z70" s="10">
        <f>Z69-Z58-Z69*overhead_pct</f>
        <v/>
      </c>
      <c r="AA70" s="10">
        <f>AA69-AA58-AA69*overhead_pct</f>
        <v/>
      </c>
      <c r="AB70" s="10">
        <f>AB69-AB58-AB69*overhead_pct</f>
        <v/>
      </c>
      <c r="AC70" s="10">
        <f>AC69-AC58-AC69*overhead_pct</f>
        <v/>
      </c>
      <c r="AD70" s="10">
        <f>AD69-AD58-AD69*overhead_pct</f>
        <v/>
      </c>
      <c r="AE70" s="10">
        <f>AE69-AE58-AE69*overhead_pct</f>
        <v/>
      </c>
      <c r="AF70" s="10">
        <f>AF69-AF58-AF69*overhead_pct</f>
        <v/>
      </c>
      <c r="AG70" s="10">
        <f>AG69-AG58-AG69*overhead_pct</f>
        <v/>
      </c>
      <c r="AH70" s="10">
        <f>AH69-AH58-AH69*overhead_pct</f>
        <v/>
      </c>
      <c r="AI70" s="10">
        <f>AI69-AI58-AI69*overhead_pct</f>
        <v/>
      </c>
    </row>
    <row r="71">
      <c r="A71" t="inlineStr">
        <is>
          <t>Целевой тариф к тарифу опрыскивания</t>
        </is>
      </c>
      <c r="B71" t="inlineStr">
        <is>
          <t>раз</t>
        </is>
      </c>
      <c r="C71" s="9">
        <f>C66/liquid_tariff_external</f>
        <v/>
      </c>
      <c r="D71" s="9">
        <f>D66/liquid_tariff_external</f>
        <v/>
      </c>
      <c r="E71" s="9">
        <f>E66/liquid_tariff_external</f>
        <v/>
      </c>
      <c r="F71" s="9">
        <f>F66/liquid_tariff_external</f>
        <v/>
      </c>
      <c r="G71" s="9">
        <f>G66/liquid_tariff_external</f>
        <v/>
      </c>
      <c r="H71" s="9">
        <f>H66/liquid_tariff_external</f>
        <v/>
      </c>
      <c r="I71" s="9">
        <f>I66/liquid_tariff_external</f>
        <v/>
      </c>
      <c r="J71" s="9">
        <f>J66/liquid_tariff_external</f>
        <v/>
      </c>
      <c r="K71" s="9">
        <f>K66/liquid_tariff_external</f>
        <v/>
      </c>
      <c r="L71" s="9">
        <f>L66/liquid_tariff_external</f>
        <v/>
      </c>
      <c r="M71" s="9">
        <f>M66/liquid_tariff_external</f>
        <v/>
      </c>
      <c r="N71" s="9">
        <f>N66/liquid_tariff_external</f>
        <v/>
      </c>
      <c r="O71" s="9">
        <f>O66/liquid_tariff_external</f>
        <v/>
      </c>
      <c r="P71" s="9">
        <f>P66/liquid_tariff_external</f>
        <v/>
      </c>
      <c r="Q71" s="9">
        <f>Q66/liquid_tariff_external</f>
        <v/>
      </c>
      <c r="R71" s="9">
        <f>R66/liquid_tariff_external</f>
        <v/>
      </c>
      <c r="S71" s="9">
        <f>S66/liquid_tariff_external</f>
        <v/>
      </c>
      <c r="T71" s="9">
        <f>T66/liquid_tariff_external</f>
        <v/>
      </c>
      <c r="U71" s="9">
        <f>U66/liquid_tariff_external</f>
        <v/>
      </c>
      <c r="V71" s="9">
        <f>V66/liquid_tariff_external</f>
        <v/>
      </c>
      <c r="W71" s="9">
        <f>W66/liquid_tariff_external</f>
        <v/>
      </c>
      <c r="X71" s="9">
        <f>X66/liquid_tariff_external</f>
        <v/>
      </c>
      <c r="Y71" s="9">
        <f>Y66/liquid_tariff_external</f>
        <v/>
      </c>
      <c r="Z71" s="9">
        <f>Z66/liquid_tariff_external</f>
        <v/>
      </c>
      <c r="AA71" s="9">
        <f>AA66/liquid_tariff_external</f>
        <v/>
      </c>
      <c r="AB71" s="9">
        <f>AB66/liquid_tariff_external</f>
        <v/>
      </c>
      <c r="AC71" s="9">
        <f>AC66/liquid_tariff_external</f>
        <v/>
      </c>
      <c r="AD71" s="9">
        <f>AD66/liquid_tariff_external</f>
        <v/>
      </c>
      <c r="AE71" s="9">
        <f>AE66/liquid_tariff_external</f>
        <v/>
      </c>
      <c r="AF71" s="9">
        <f>AF66/liquid_tariff_external</f>
        <v/>
      </c>
      <c r="AG71" s="9">
        <f>AG66/liquid_tariff_external</f>
        <v/>
      </c>
      <c r="AH71" s="9">
        <f>AH66/liquid_tariff_external</f>
        <v/>
      </c>
      <c r="AI71" s="9">
        <f>AI66/liquid_tariff_external</f>
        <v/>
      </c>
    </row>
    <row r="72">
      <c r="A72" s="3" t="inlineStr">
        <is>
          <t>ДВУХСТАВОЧНЫЙ ТАРИФ: ГЕКТАР + ТОННА</t>
        </is>
      </c>
      <c r="B72" s="2" t="inlineStr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</row>
    <row r="73">
      <c r="A73" t="inlineStr">
        <is>
          <t>Постоянные затраты на минуту лётного времени</t>
        </is>
      </c>
      <c r="B73" t="inlineStr">
        <is>
          <t>сум/мин</t>
        </is>
      </c>
      <c r="C73" s="10">
        <f>(C54+C56+C57)/(C17*60)</f>
        <v/>
      </c>
      <c r="D73" s="10">
        <f>(D54+D56+D57)/(D17*60)</f>
        <v/>
      </c>
      <c r="E73" s="10">
        <f>(E54+E56+E57)/(E17*60)</f>
        <v/>
      </c>
      <c r="F73" s="10">
        <f>(F54+F56+F57)/(F17*60)</f>
        <v/>
      </c>
      <c r="G73" s="10">
        <f>(G54+G56+G57)/(G17*60)</f>
        <v/>
      </c>
      <c r="H73" s="10">
        <f>(H54+H56+H57)/(H17*60)</f>
        <v/>
      </c>
      <c r="I73" s="10">
        <f>(I54+I56+I57)/(I17*60)</f>
        <v/>
      </c>
      <c r="J73" s="10">
        <f>(J54+J56+J57)/(J17*60)</f>
        <v/>
      </c>
      <c r="K73" s="10">
        <f>(K54+K56+K57)/(K17*60)</f>
        <v/>
      </c>
      <c r="L73" s="10">
        <f>(L54+L56+L57)/(L17*60)</f>
        <v/>
      </c>
      <c r="M73" s="10">
        <f>(M54+M56+M57)/(M17*60)</f>
        <v/>
      </c>
      <c r="N73" s="10">
        <f>(N54+N56+N57)/(N17*60)</f>
        <v/>
      </c>
      <c r="O73" s="10">
        <f>(O54+O56+O57)/(O17*60)</f>
        <v/>
      </c>
      <c r="P73" s="10">
        <f>(P54+P56+P57)/(P17*60)</f>
        <v/>
      </c>
      <c r="Q73" s="10">
        <f>(Q54+Q56+Q57)/(Q17*60)</f>
        <v/>
      </c>
      <c r="R73" s="10">
        <f>(R54+R56+R57)/(R17*60)</f>
        <v/>
      </c>
      <c r="S73" s="10">
        <f>(S54+S56+S57)/(S17*60)</f>
        <v/>
      </c>
      <c r="T73" s="10">
        <f>(T54+T56+T57)/(T17*60)</f>
        <v/>
      </c>
      <c r="U73" s="10">
        <f>(U54+U56+U57)/(U17*60)</f>
        <v/>
      </c>
      <c r="V73" s="10">
        <f>(V54+V56+V57)/(V17*60)</f>
        <v/>
      </c>
      <c r="W73" s="10">
        <f>(W54+W56+W57)/(W17*60)</f>
        <v/>
      </c>
      <c r="X73" s="10">
        <f>(X54+X56+X57)/(X17*60)</f>
        <v/>
      </c>
      <c r="Y73" s="10">
        <f>(Y54+Y56+Y57)/(Y17*60)</f>
        <v/>
      </c>
      <c r="Z73" s="10">
        <f>(Z54+Z56+Z57)/(Z17*60)</f>
        <v/>
      </c>
      <c r="AA73" s="10">
        <f>(AA54+AA56+AA57)/(AA17*60)</f>
        <v/>
      </c>
      <c r="AB73" s="10">
        <f>(AB54+AB56+AB57)/(AB17*60)</f>
        <v/>
      </c>
      <c r="AC73" s="10">
        <f>(AC54+AC56+AC57)/(AC17*60)</f>
        <v/>
      </c>
      <c r="AD73" s="10">
        <f>(AD54+AD56+AD57)/(AD17*60)</f>
        <v/>
      </c>
      <c r="AE73" s="10">
        <f>(AE54+AE56+AE57)/(AE17*60)</f>
        <v/>
      </c>
      <c r="AF73" s="10">
        <f>(AF54+AF56+AF57)/(AF17*60)</f>
        <v/>
      </c>
      <c r="AG73" s="10">
        <f>(AG54+AG56+AG57)/(AG17*60)</f>
        <v/>
      </c>
      <c r="AH73" s="10">
        <f>(AH54+AH56+AH57)/(AH17*60)</f>
        <v/>
      </c>
      <c r="AI73" s="10">
        <f>(AI54+AI56+AI57)/(AI17*60)</f>
        <v/>
      </c>
    </row>
    <row r="74">
      <c r="A74" t="inlineStr">
        <is>
          <t>Батарея, бензин, износ на минуту полёта</t>
        </is>
      </c>
      <c r="B74" t="inlineStr">
        <is>
          <t>сум/мин</t>
        </is>
      </c>
      <c r="C74" s="10">
        <f>(C20*usd_rate/C23+battery_kwh/charge_eff*gen_l_per_kwh*C22)/cycle_equiv_min+drone_wear_usd_h*usd_rate/60*(1+fert_wear_premium)</f>
        <v/>
      </c>
      <c r="D74" s="10">
        <f>(D20*usd_rate/D23+battery_kwh/charge_eff*gen_l_per_kwh*D22)/cycle_equiv_min+drone_wear_usd_h*usd_rate/60*(1+fert_wear_premium)</f>
        <v/>
      </c>
      <c r="E74" s="10">
        <f>(E20*usd_rate/E23+battery_kwh/charge_eff*gen_l_per_kwh*E22)/cycle_equiv_min+drone_wear_usd_h*usd_rate/60*(1+fert_wear_premium)</f>
        <v/>
      </c>
      <c r="F74" s="10">
        <f>(F20*usd_rate/F23+battery_kwh/charge_eff*gen_l_per_kwh*F22)/cycle_equiv_min+drone_wear_usd_h*usd_rate/60*(1+fert_wear_premium)</f>
        <v/>
      </c>
      <c r="G74" s="10">
        <f>(G20*usd_rate/G23+battery_kwh/charge_eff*gen_l_per_kwh*G22)/cycle_equiv_min+drone_wear_usd_h*usd_rate/60*(1+fert_wear_premium)</f>
        <v/>
      </c>
      <c r="H74" s="10">
        <f>(H20*usd_rate/H23+battery_kwh/charge_eff*gen_l_per_kwh*H22)/cycle_equiv_min+drone_wear_usd_h*usd_rate/60*(1+fert_wear_premium)</f>
        <v/>
      </c>
      <c r="I74" s="10">
        <f>(I20*usd_rate/I23+battery_kwh/charge_eff*gen_l_per_kwh*I22)/cycle_equiv_min+drone_wear_usd_h*usd_rate/60*(1+fert_wear_premium)</f>
        <v/>
      </c>
      <c r="J74" s="10">
        <f>(J20*usd_rate/J23+battery_kwh/charge_eff*gen_l_per_kwh*J22)/cycle_equiv_min+drone_wear_usd_h*usd_rate/60*(1+fert_wear_premium)</f>
        <v/>
      </c>
      <c r="K74" s="10">
        <f>(K20*usd_rate/K23+battery_kwh/charge_eff*gen_l_per_kwh*K22)/cycle_equiv_min+drone_wear_usd_h*usd_rate/60*(1+fert_wear_premium)</f>
        <v/>
      </c>
      <c r="L74" s="10">
        <f>(L20*usd_rate/L23+battery_kwh/charge_eff*gen_l_per_kwh*L22)/cycle_equiv_min+drone_wear_usd_h*usd_rate/60*(1+fert_wear_premium)</f>
        <v/>
      </c>
      <c r="M74" s="10">
        <f>(M20*usd_rate/M23+battery_kwh/charge_eff*gen_l_per_kwh*M22)/cycle_equiv_min+drone_wear_usd_h*usd_rate/60*(1+fert_wear_premium)</f>
        <v/>
      </c>
      <c r="N74" s="10">
        <f>(N20*usd_rate/N23+battery_kwh/charge_eff*gen_l_per_kwh*N22)/cycle_equiv_min+drone_wear_usd_h*usd_rate/60*(1+fert_wear_premium)</f>
        <v/>
      </c>
      <c r="O74" s="10">
        <f>(O20*usd_rate/O23+battery_kwh/charge_eff*gen_l_per_kwh*O22)/cycle_equiv_min+drone_wear_usd_h*usd_rate/60*(1+fert_wear_premium)</f>
        <v/>
      </c>
      <c r="P74" s="10">
        <f>(P20*usd_rate/P23+battery_kwh/charge_eff*gen_l_per_kwh*P22)/cycle_equiv_min+drone_wear_usd_h*usd_rate/60*(1+fert_wear_premium)</f>
        <v/>
      </c>
      <c r="Q74" s="10">
        <f>(Q20*usd_rate/Q23+battery_kwh/charge_eff*gen_l_per_kwh*Q22)/cycle_equiv_min+drone_wear_usd_h*usd_rate/60*(1+fert_wear_premium)</f>
        <v/>
      </c>
      <c r="R74" s="10">
        <f>(R20*usd_rate/R23+battery_kwh/charge_eff*gen_l_per_kwh*R22)/cycle_equiv_min+drone_wear_usd_h*usd_rate/60*(1+fert_wear_premium)</f>
        <v/>
      </c>
      <c r="S74" s="10">
        <f>(S20*usd_rate/S23+battery_kwh/charge_eff*gen_l_per_kwh*S22)/cycle_equiv_min+drone_wear_usd_h*usd_rate/60*(1+fert_wear_premium)</f>
        <v/>
      </c>
      <c r="T74" s="10">
        <f>(T20*usd_rate/T23+battery_kwh/charge_eff*gen_l_per_kwh*T22)/cycle_equiv_min+drone_wear_usd_h*usd_rate/60*(1+fert_wear_premium)</f>
        <v/>
      </c>
      <c r="U74" s="10">
        <f>(U20*usd_rate/U23+battery_kwh/charge_eff*gen_l_per_kwh*U22)/cycle_equiv_min+drone_wear_usd_h*usd_rate/60*(1+fert_wear_premium)</f>
        <v/>
      </c>
      <c r="V74" s="10">
        <f>(V20*usd_rate/V23+battery_kwh/charge_eff*gen_l_per_kwh*V22)/cycle_equiv_min+drone_wear_usd_h*usd_rate/60*(1+fert_wear_premium)</f>
        <v/>
      </c>
      <c r="W74" s="10">
        <f>(W20*usd_rate/W23+battery_kwh/charge_eff*gen_l_per_kwh*W22)/cycle_equiv_min+drone_wear_usd_h*usd_rate/60*(1+fert_wear_premium)</f>
        <v/>
      </c>
      <c r="X74" s="10">
        <f>(X20*usd_rate/X23+battery_kwh/charge_eff*gen_l_per_kwh*X22)/cycle_equiv_min+drone_wear_usd_h*usd_rate/60*(1+fert_wear_premium)</f>
        <v/>
      </c>
      <c r="Y74" s="10">
        <f>(Y20*usd_rate/Y23+battery_kwh/charge_eff*gen_l_per_kwh*Y22)/cycle_equiv_min+drone_wear_usd_h*usd_rate/60*(1+fert_wear_premium)</f>
        <v/>
      </c>
      <c r="Z74" s="10">
        <f>(Z20*usd_rate/Z23+battery_kwh/charge_eff*gen_l_per_kwh*Z22)/cycle_equiv_min+drone_wear_usd_h*usd_rate/60*(1+fert_wear_premium)</f>
        <v/>
      </c>
      <c r="AA74" s="10">
        <f>(AA20*usd_rate/AA23+battery_kwh/charge_eff*gen_l_per_kwh*AA22)/cycle_equiv_min+drone_wear_usd_h*usd_rate/60*(1+fert_wear_premium)</f>
        <v/>
      </c>
      <c r="AB74" s="10">
        <f>(AB20*usd_rate/AB23+battery_kwh/charge_eff*gen_l_per_kwh*AB22)/cycle_equiv_min+drone_wear_usd_h*usd_rate/60*(1+fert_wear_premium)</f>
        <v/>
      </c>
      <c r="AC74" s="10">
        <f>(AC20*usd_rate/AC23+battery_kwh/charge_eff*gen_l_per_kwh*AC22)/cycle_equiv_min+drone_wear_usd_h*usd_rate/60*(1+fert_wear_premium)</f>
        <v/>
      </c>
      <c r="AD74" s="10">
        <f>(AD20*usd_rate/AD23+battery_kwh/charge_eff*gen_l_per_kwh*AD22)/cycle_equiv_min+drone_wear_usd_h*usd_rate/60*(1+fert_wear_premium)</f>
        <v/>
      </c>
      <c r="AE74" s="10">
        <f>(AE20*usd_rate/AE23+battery_kwh/charge_eff*gen_l_per_kwh*AE22)/cycle_equiv_min+drone_wear_usd_h*usd_rate/60*(1+fert_wear_premium)</f>
        <v/>
      </c>
      <c r="AF74" s="10">
        <f>(AF20*usd_rate/AF23+battery_kwh/charge_eff*gen_l_per_kwh*AF22)/cycle_equiv_min+drone_wear_usd_h*usd_rate/60*(1+fert_wear_premium)</f>
        <v/>
      </c>
      <c r="AG74" s="10">
        <f>(AG20*usd_rate/AG23+battery_kwh/charge_eff*gen_l_per_kwh*AG22)/cycle_equiv_min+drone_wear_usd_h*usd_rate/60*(1+fert_wear_premium)</f>
        <v/>
      </c>
      <c r="AH74" s="10">
        <f>(AH20*usd_rate/AH23+battery_kwh/charge_eff*gen_l_per_kwh*AH22)/cycle_equiv_min+drone_wear_usd_h*usd_rate/60*(1+fert_wear_premium)</f>
        <v/>
      </c>
      <c r="AI74" s="10">
        <f>(AI20*usd_rate/AI23+battery_kwh/charge_eff*gen_l_per_kwh*AI22)/cycle_equiv_min+drone_wear_usd_h*usd_rate/60*(1+fert_wear_premium)</f>
        <v/>
      </c>
    </row>
    <row r="75">
      <c r="A75" t="inlineStr">
        <is>
          <t>Себестоимость: постоянная часть на гектар (C0; 0, если скорость режет подача)</t>
        </is>
      </c>
      <c r="B75" t="inlineStr">
        <is>
          <t>сум/га</t>
        </is>
      </c>
      <c r="C75" s="10">
        <f>IF(C31="подача гранул",0,C32*(C73+C74))</f>
        <v/>
      </c>
      <c r="D75" s="10">
        <f>IF(D31="подача гранул",0,D32*(D73+D74))</f>
        <v/>
      </c>
      <c r="E75" s="10">
        <f>IF(E31="подача гранул",0,E32*(E73+E74))</f>
        <v/>
      </c>
      <c r="F75" s="10">
        <f>IF(F31="подача гранул",0,F32*(F73+F74))</f>
        <v/>
      </c>
      <c r="G75" s="10">
        <f>IF(G31="подача гранул",0,G32*(G73+G74))</f>
        <v/>
      </c>
      <c r="H75" s="10">
        <f>IF(H31="подача гранул",0,H32*(H73+H74))</f>
        <v/>
      </c>
      <c r="I75" s="10">
        <f>IF(I31="подача гранул",0,I32*(I73+I74))</f>
        <v/>
      </c>
      <c r="J75" s="10">
        <f>IF(J31="подача гранул",0,J32*(J73+J74))</f>
        <v/>
      </c>
      <c r="K75" s="10">
        <f>IF(K31="подача гранул",0,K32*(K73+K74))</f>
        <v/>
      </c>
      <c r="L75" s="10">
        <f>IF(L31="подача гранул",0,L32*(L73+L74))</f>
        <v/>
      </c>
      <c r="M75" s="10">
        <f>IF(M31="подача гранул",0,M32*(M73+M74))</f>
        <v/>
      </c>
      <c r="N75" s="10">
        <f>IF(N31="подача гранул",0,N32*(N73+N74))</f>
        <v/>
      </c>
      <c r="O75" s="10">
        <f>IF(O31="подача гранул",0,O32*(O73+O74))</f>
        <v/>
      </c>
      <c r="P75" s="10">
        <f>IF(P31="подача гранул",0,P32*(P73+P74))</f>
        <v/>
      </c>
      <c r="Q75" s="10">
        <f>IF(Q31="подача гранул",0,Q32*(Q73+Q74))</f>
        <v/>
      </c>
      <c r="R75" s="10">
        <f>IF(R31="подача гранул",0,R32*(R73+R74))</f>
        <v/>
      </c>
      <c r="S75" s="10">
        <f>IF(S31="подача гранул",0,S32*(S73+S74))</f>
        <v/>
      </c>
      <c r="T75" s="10">
        <f>IF(T31="подача гранул",0,T32*(T73+T74))</f>
        <v/>
      </c>
      <c r="U75" s="10">
        <f>IF(U31="подача гранул",0,U32*(U73+U74))</f>
        <v/>
      </c>
      <c r="V75" s="10">
        <f>IF(V31="подача гранул",0,V32*(V73+V74))</f>
        <v/>
      </c>
      <c r="W75" s="10">
        <f>IF(W31="подача гранул",0,W32*(W73+W74))</f>
        <v/>
      </c>
      <c r="X75" s="10">
        <f>IF(X31="подача гранул",0,X32*(X73+X74))</f>
        <v/>
      </c>
      <c r="Y75" s="10">
        <f>IF(Y31="подача гранул",0,Y32*(Y73+Y74))</f>
        <v/>
      </c>
      <c r="Z75" s="10">
        <f>IF(Z31="подача гранул",0,Z32*(Z73+Z74))</f>
        <v/>
      </c>
      <c r="AA75" s="10">
        <f>IF(AA31="подача гранул",0,AA32*(AA73+AA74))</f>
        <v/>
      </c>
      <c r="AB75" s="10">
        <f>IF(AB31="подача гранул",0,AB32*(AB73+AB74))</f>
        <v/>
      </c>
      <c r="AC75" s="10">
        <f>IF(AC31="подача гранул",0,AC32*(AC73+AC74))</f>
        <v/>
      </c>
      <c r="AD75" s="10">
        <f>IF(AD31="подача гранул",0,AD32*(AD73+AD74))</f>
        <v/>
      </c>
      <c r="AE75" s="10">
        <f>IF(AE31="подача гранул",0,AE32*(AE73+AE74))</f>
        <v/>
      </c>
      <c r="AF75" s="10">
        <f>IF(AF31="подача гранул",0,AF32*(AF73+AF74))</f>
        <v/>
      </c>
      <c r="AG75" s="10">
        <f>IF(AG31="подача гранул",0,AG32*(AG73+AG74))</f>
        <v/>
      </c>
      <c r="AH75" s="10">
        <f>IF(AH31="подача гранул",0,AH32*(AH73+AH74))</f>
        <v/>
      </c>
      <c r="AI75" s="10">
        <f>IF(AI31="подача гранул",0,AI32*(AI73+AI74))</f>
        <v/>
      </c>
    </row>
    <row r="76">
      <c r="A76" t="inlineStr">
        <is>
          <t>Себестоимость: переменная часть на килограмм (c1)</t>
        </is>
      </c>
      <c r="B76" t="inlineStr">
        <is>
          <t>сум/кг</t>
        </is>
      </c>
      <c r="C76" s="10">
        <f>IF(C31="подача гранул",C73*(1/C27+(C19+C18)/C16)+C74*(1/C27+C19/C16),((C19+C18)*C73+C19*C74)/C16)</f>
        <v/>
      </c>
      <c r="D76" s="10">
        <f>IF(D31="подача гранул",D73*(1/D27+(D19+D18)/D16)+D74*(1/D27+D19/D16),((D19+D18)*D73+D19*D74)/D16)</f>
        <v/>
      </c>
      <c r="E76" s="10">
        <f>IF(E31="подача гранул",E73*(1/E27+(E19+E18)/E16)+E74*(1/E27+E19/E16),((E19+E18)*E73+E19*E74)/E16)</f>
        <v/>
      </c>
      <c r="F76" s="10">
        <f>IF(F31="подача гранул",F73*(1/F27+(F19+F18)/F16)+F74*(1/F27+F19/F16),((F19+F18)*F73+F19*F74)/F16)</f>
        <v/>
      </c>
      <c r="G76" s="10">
        <f>IF(G31="подача гранул",G73*(1/G27+(G19+G18)/G16)+G74*(1/G27+G19/G16),((G19+G18)*G73+G19*G74)/G16)</f>
        <v/>
      </c>
      <c r="H76" s="10">
        <f>IF(H31="подача гранул",H73*(1/H27+(H19+H18)/H16)+H74*(1/H27+H19/H16),((H19+H18)*H73+H19*H74)/H16)</f>
        <v/>
      </c>
      <c r="I76" s="10">
        <f>IF(I31="подача гранул",I73*(1/I27+(I19+I18)/I16)+I74*(1/I27+I19/I16),((I19+I18)*I73+I19*I74)/I16)</f>
        <v/>
      </c>
      <c r="J76" s="10">
        <f>IF(J31="подача гранул",J73*(1/J27+(J19+J18)/J16)+J74*(1/J27+J19/J16),((J19+J18)*J73+J19*J74)/J16)</f>
        <v/>
      </c>
      <c r="K76" s="10">
        <f>IF(K31="подача гранул",K73*(1/K27+(K19+K18)/K16)+K74*(1/K27+K19/K16),((K19+K18)*K73+K19*K74)/K16)</f>
        <v/>
      </c>
      <c r="L76" s="10">
        <f>IF(L31="подача гранул",L73*(1/L27+(L19+L18)/L16)+L74*(1/L27+L19/L16),((L19+L18)*L73+L19*L74)/L16)</f>
        <v/>
      </c>
      <c r="M76" s="10">
        <f>IF(M31="подача гранул",M73*(1/M27+(M19+M18)/M16)+M74*(1/M27+M19/M16),((M19+M18)*M73+M19*M74)/M16)</f>
        <v/>
      </c>
      <c r="N76" s="10">
        <f>IF(N31="подача гранул",N73*(1/N27+(N19+N18)/N16)+N74*(1/N27+N19/N16),((N19+N18)*N73+N19*N74)/N16)</f>
        <v/>
      </c>
      <c r="O76" s="10">
        <f>IF(O31="подача гранул",O73*(1/O27+(O19+O18)/O16)+O74*(1/O27+O19/O16),((O19+O18)*O73+O19*O74)/O16)</f>
        <v/>
      </c>
      <c r="P76" s="10">
        <f>IF(P31="подача гранул",P73*(1/P27+(P19+P18)/P16)+P74*(1/P27+P19/P16),((P19+P18)*P73+P19*P74)/P16)</f>
        <v/>
      </c>
      <c r="Q76" s="10">
        <f>IF(Q31="подача гранул",Q73*(1/Q27+(Q19+Q18)/Q16)+Q74*(1/Q27+Q19/Q16),((Q19+Q18)*Q73+Q19*Q74)/Q16)</f>
        <v/>
      </c>
      <c r="R76" s="10">
        <f>IF(R31="подача гранул",R73*(1/R27+(R19+R18)/R16)+R74*(1/R27+R19/R16),((R19+R18)*R73+R19*R74)/R16)</f>
        <v/>
      </c>
      <c r="S76" s="10">
        <f>IF(S31="подача гранул",S73*(1/S27+(S19+S18)/S16)+S74*(1/S27+S19/S16),((S19+S18)*S73+S19*S74)/S16)</f>
        <v/>
      </c>
      <c r="T76" s="10">
        <f>IF(T31="подача гранул",T73*(1/T27+(T19+T18)/T16)+T74*(1/T27+T19/T16),((T19+T18)*T73+T19*T74)/T16)</f>
        <v/>
      </c>
      <c r="U76" s="10">
        <f>IF(U31="подача гранул",U73*(1/U27+(U19+U18)/U16)+U74*(1/U27+U19/U16),((U19+U18)*U73+U19*U74)/U16)</f>
        <v/>
      </c>
      <c r="V76" s="10">
        <f>IF(V31="подача гранул",V73*(1/V27+(V19+V18)/V16)+V74*(1/V27+V19/V16),((V19+V18)*V73+V19*V74)/V16)</f>
        <v/>
      </c>
      <c r="W76" s="10">
        <f>IF(W31="подача гранул",W73*(1/W27+(W19+W18)/W16)+W74*(1/W27+W19/W16),((W19+W18)*W73+W19*W74)/W16)</f>
        <v/>
      </c>
      <c r="X76" s="10">
        <f>IF(X31="подача гранул",X73*(1/X27+(X19+X18)/X16)+X74*(1/X27+X19/X16),((X19+X18)*X73+X19*X74)/X16)</f>
        <v/>
      </c>
      <c r="Y76" s="10">
        <f>IF(Y31="подача гранул",Y73*(1/Y27+(Y19+Y18)/Y16)+Y74*(1/Y27+Y19/Y16),((Y19+Y18)*Y73+Y19*Y74)/Y16)</f>
        <v/>
      </c>
      <c r="Z76" s="10">
        <f>IF(Z31="подача гранул",Z73*(1/Z27+(Z19+Z18)/Z16)+Z74*(1/Z27+Z19/Z16),((Z19+Z18)*Z73+Z19*Z74)/Z16)</f>
        <v/>
      </c>
      <c r="AA76" s="10">
        <f>IF(AA31="подача гранул",AA73*(1/AA27+(AA19+AA18)/AA16)+AA74*(1/AA27+AA19/AA16),((AA19+AA18)*AA73+AA19*AA74)/AA16)</f>
        <v/>
      </c>
      <c r="AB76" s="10">
        <f>IF(AB31="подача гранул",AB73*(1/AB27+(AB19+AB18)/AB16)+AB74*(1/AB27+AB19/AB16),((AB19+AB18)*AB73+AB19*AB74)/AB16)</f>
        <v/>
      </c>
      <c r="AC76" s="10">
        <f>IF(AC31="подача гранул",AC73*(1/AC27+(AC19+AC18)/AC16)+AC74*(1/AC27+AC19/AC16),((AC19+AC18)*AC73+AC19*AC74)/AC16)</f>
        <v/>
      </c>
      <c r="AD76" s="10">
        <f>IF(AD31="подача гранул",AD73*(1/AD27+(AD19+AD18)/AD16)+AD74*(1/AD27+AD19/AD16),((AD19+AD18)*AD73+AD19*AD74)/AD16)</f>
        <v/>
      </c>
      <c r="AE76" s="10">
        <f>IF(AE31="подача гранул",AE73*(1/AE27+(AE19+AE18)/AE16)+AE74*(1/AE27+AE19/AE16),((AE19+AE18)*AE73+AE19*AE74)/AE16)</f>
        <v/>
      </c>
      <c r="AF76" s="10">
        <f>IF(AF31="подача гранул",AF73*(1/AF27+(AF19+AF18)/AF16)+AF74*(1/AF27+AF19/AF16),((AF19+AF18)*AF73+AF19*AF74)/AF16)</f>
        <v/>
      </c>
      <c r="AG76" s="10">
        <f>IF(AG31="подача гранул",AG73*(1/AG27+(AG19+AG18)/AG16)+AG74*(1/AG27+AG19/AG16),((AG19+AG18)*AG73+AG19*AG74)/AG16)</f>
        <v/>
      </c>
      <c r="AH76" s="10">
        <f>IF(AH31="подача гранул",AH73*(1/AH27+(AH19+AH18)/AH16)+AH74*(1/AH27+AH19/AH16),((AH19+AH18)*AH73+AH19*AH74)/AH16)</f>
        <v/>
      </c>
      <c r="AI76" s="10">
        <f>IF(AI31="подача гранул",AI73*(1/AI27+(AI19+AI18)/AI16)+AI74*(1/AI27+AI19/AI16),((AI19+AI18)*AI73+AI19*AI74)/AI16)</f>
        <v/>
      </c>
    </row>
    <row r="77">
      <c r="A77" t="inlineStr">
        <is>
          <t>Контроль: C0 + c1 x норма - прямая себестоимость (0, пока вылет ограничен весом бака или подачей, а не батареей)</t>
        </is>
      </c>
      <c r="B77" t="inlineStr">
        <is>
          <t>сум</t>
        </is>
      </c>
      <c r="C77" s="10">
        <f>C75+C76*C2-C64</f>
        <v/>
      </c>
      <c r="D77" s="10">
        <f>D75+D76*D2-D64</f>
        <v/>
      </c>
      <c r="E77" s="10">
        <f>E75+E76*E2-E64</f>
        <v/>
      </c>
      <c r="F77" s="10">
        <f>F75+F76*F2-F64</f>
        <v/>
      </c>
      <c r="G77" s="10">
        <f>G75+G76*G2-G64</f>
        <v/>
      </c>
      <c r="H77" s="10">
        <f>H75+H76*H2-H64</f>
        <v/>
      </c>
      <c r="I77" s="10">
        <f>I75+I76*I2-I64</f>
        <v/>
      </c>
      <c r="J77" s="10">
        <f>J75+J76*J2-J64</f>
        <v/>
      </c>
      <c r="K77" s="10">
        <f>K75+K76*K2-K64</f>
        <v/>
      </c>
      <c r="L77" s="10">
        <f>L75+L76*L2-L64</f>
        <v/>
      </c>
      <c r="M77" s="10">
        <f>M75+M76*M2-M64</f>
        <v/>
      </c>
      <c r="N77" s="10">
        <f>N75+N76*N2-N64</f>
        <v/>
      </c>
      <c r="O77" s="10">
        <f>O75+O76*O2-O64</f>
        <v/>
      </c>
      <c r="P77" s="10">
        <f>P75+P76*P2-P64</f>
        <v/>
      </c>
      <c r="Q77" s="10">
        <f>Q75+Q76*Q2-Q64</f>
        <v/>
      </c>
      <c r="R77" s="10">
        <f>R75+R76*R2-R64</f>
        <v/>
      </c>
      <c r="S77" s="10">
        <f>S75+S76*S2-S64</f>
        <v/>
      </c>
      <c r="T77" s="10">
        <f>T75+T76*T2-T64</f>
        <v/>
      </c>
      <c r="U77" s="10">
        <f>U75+U76*U2-U64</f>
        <v/>
      </c>
      <c r="V77" s="10">
        <f>V75+V76*V2-V64</f>
        <v/>
      </c>
      <c r="W77" s="10">
        <f>W75+W76*W2-W64</f>
        <v/>
      </c>
      <c r="X77" s="10">
        <f>X75+X76*X2-X64</f>
        <v/>
      </c>
      <c r="Y77" s="10">
        <f>Y75+Y76*Y2-Y64</f>
        <v/>
      </c>
      <c r="Z77" s="10">
        <f>Z75+Z76*Z2-Z64</f>
        <v/>
      </c>
      <c r="AA77" s="10">
        <f>AA75+AA76*AA2-AA64</f>
        <v/>
      </c>
      <c r="AB77" s="10">
        <f>AB75+AB76*AB2-AB64</f>
        <v/>
      </c>
      <c r="AC77" s="10">
        <f>AC75+AC76*AC2-AC64</f>
        <v/>
      </c>
      <c r="AD77" s="10">
        <f>AD75+AD76*AD2-AD64</f>
        <v/>
      </c>
      <c r="AE77" s="10">
        <f>AE75+AE76*AE2-AE64</f>
        <v/>
      </c>
      <c r="AF77" s="10">
        <f>AF75+AF76*AF2-AF64</f>
        <v/>
      </c>
      <c r="AG77" s="10">
        <f>AG75+AG76*AG2-AG64</f>
        <v/>
      </c>
      <c r="AH77" s="10">
        <f>AH75+AH76*AH2-AH64</f>
        <v/>
      </c>
      <c r="AI77" s="10">
        <f>AI75+AI76*AI2-AI64</f>
        <v/>
      </c>
    </row>
    <row r="78">
      <c r="A78" s="1" t="inlineStr">
        <is>
          <t>ТАРИФ: ставка за гектар</t>
        </is>
      </c>
      <c r="B78" t="inlineStr">
        <is>
          <t>сум/га</t>
        </is>
      </c>
      <c r="C78" s="12">
        <f>C75/(1-overhead_pct-target_margin_pct)</f>
        <v/>
      </c>
      <c r="D78" s="12">
        <f>D75/(1-overhead_pct-target_margin_pct)</f>
        <v/>
      </c>
      <c r="E78" s="12">
        <f>E75/(1-overhead_pct-target_margin_pct)</f>
        <v/>
      </c>
      <c r="F78" s="12">
        <f>F75/(1-overhead_pct-target_margin_pct)</f>
        <v/>
      </c>
      <c r="G78" s="12">
        <f>G75/(1-overhead_pct-target_margin_pct)</f>
        <v/>
      </c>
      <c r="H78" s="12">
        <f>H75/(1-overhead_pct-target_margin_pct)</f>
        <v/>
      </c>
      <c r="I78" s="12">
        <f>I75/(1-overhead_pct-target_margin_pct)</f>
        <v/>
      </c>
      <c r="J78" s="12">
        <f>J75/(1-overhead_pct-target_margin_pct)</f>
        <v/>
      </c>
      <c r="K78" s="12">
        <f>K75/(1-overhead_pct-target_margin_pct)</f>
        <v/>
      </c>
      <c r="L78" s="12">
        <f>L75/(1-overhead_pct-target_margin_pct)</f>
        <v/>
      </c>
      <c r="M78" s="12">
        <f>M75/(1-overhead_pct-target_margin_pct)</f>
        <v/>
      </c>
      <c r="N78" s="12">
        <f>N75/(1-overhead_pct-target_margin_pct)</f>
        <v/>
      </c>
      <c r="O78" s="12">
        <f>O75/(1-overhead_pct-target_margin_pct)</f>
        <v/>
      </c>
      <c r="P78" s="12">
        <f>P75/(1-overhead_pct-target_margin_pct)</f>
        <v/>
      </c>
      <c r="Q78" s="12">
        <f>Q75/(1-overhead_pct-target_margin_pct)</f>
        <v/>
      </c>
      <c r="R78" s="12">
        <f>R75/(1-overhead_pct-target_margin_pct)</f>
        <v/>
      </c>
      <c r="S78" s="12">
        <f>S75/(1-overhead_pct-target_margin_pct)</f>
        <v/>
      </c>
      <c r="T78" s="12">
        <f>T75/(1-overhead_pct-target_margin_pct)</f>
        <v/>
      </c>
      <c r="U78" s="12">
        <f>U75/(1-overhead_pct-target_margin_pct)</f>
        <v/>
      </c>
      <c r="V78" s="12">
        <f>V75/(1-overhead_pct-target_margin_pct)</f>
        <v/>
      </c>
      <c r="W78" s="12">
        <f>W75/(1-overhead_pct-target_margin_pct)</f>
        <v/>
      </c>
      <c r="X78" s="12">
        <f>X75/(1-overhead_pct-target_margin_pct)</f>
        <v/>
      </c>
      <c r="Y78" s="12">
        <f>Y75/(1-overhead_pct-target_margin_pct)</f>
        <v/>
      </c>
      <c r="Z78" s="12">
        <f>Z75/(1-overhead_pct-target_margin_pct)</f>
        <v/>
      </c>
      <c r="AA78" s="12">
        <f>AA75/(1-overhead_pct-target_margin_pct)</f>
        <v/>
      </c>
      <c r="AB78" s="12">
        <f>AB75/(1-overhead_pct-target_margin_pct)</f>
        <v/>
      </c>
      <c r="AC78" s="12">
        <f>AC75/(1-overhead_pct-target_margin_pct)</f>
        <v/>
      </c>
      <c r="AD78" s="12">
        <f>AD75/(1-overhead_pct-target_margin_pct)</f>
        <v/>
      </c>
      <c r="AE78" s="12">
        <f>AE75/(1-overhead_pct-target_margin_pct)</f>
        <v/>
      </c>
      <c r="AF78" s="12">
        <f>AF75/(1-overhead_pct-target_margin_pct)</f>
        <v/>
      </c>
      <c r="AG78" s="12">
        <f>AG75/(1-overhead_pct-target_margin_pct)</f>
        <v/>
      </c>
      <c r="AH78" s="12">
        <f>AH75/(1-overhead_pct-target_margin_pct)</f>
        <v/>
      </c>
      <c r="AI78" s="12">
        <f>AI75/(1-overhead_pct-target_margin_pct)</f>
        <v/>
      </c>
    </row>
    <row r="79">
      <c r="A79" t="inlineStr">
        <is>
          <t>ТАРИФ: ставка за килограмм удобрения</t>
        </is>
      </c>
      <c r="B79" t="inlineStr">
        <is>
          <t>сум/кг</t>
        </is>
      </c>
      <c r="C79" s="10">
        <f>C76/(1-overhead_pct-target_margin_pct)</f>
        <v/>
      </c>
      <c r="D79" s="10">
        <f>D76/(1-overhead_pct-target_margin_pct)</f>
        <v/>
      </c>
      <c r="E79" s="10">
        <f>E76/(1-overhead_pct-target_margin_pct)</f>
        <v/>
      </c>
      <c r="F79" s="10">
        <f>F76/(1-overhead_pct-target_margin_pct)</f>
        <v/>
      </c>
      <c r="G79" s="10">
        <f>G76/(1-overhead_pct-target_margin_pct)</f>
        <v/>
      </c>
      <c r="H79" s="10">
        <f>H76/(1-overhead_pct-target_margin_pct)</f>
        <v/>
      </c>
      <c r="I79" s="10">
        <f>I76/(1-overhead_pct-target_margin_pct)</f>
        <v/>
      </c>
      <c r="J79" s="10">
        <f>J76/(1-overhead_pct-target_margin_pct)</f>
        <v/>
      </c>
      <c r="K79" s="10">
        <f>K76/(1-overhead_pct-target_margin_pct)</f>
        <v/>
      </c>
      <c r="L79" s="10">
        <f>L76/(1-overhead_pct-target_margin_pct)</f>
        <v/>
      </c>
      <c r="M79" s="10">
        <f>M76/(1-overhead_pct-target_margin_pct)</f>
        <v/>
      </c>
      <c r="N79" s="10">
        <f>N76/(1-overhead_pct-target_margin_pct)</f>
        <v/>
      </c>
      <c r="O79" s="10">
        <f>O76/(1-overhead_pct-target_margin_pct)</f>
        <v/>
      </c>
      <c r="P79" s="10">
        <f>P76/(1-overhead_pct-target_margin_pct)</f>
        <v/>
      </c>
      <c r="Q79" s="10">
        <f>Q76/(1-overhead_pct-target_margin_pct)</f>
        <v/>
      </c>
      <c r="R79" s="10">
        <f>R76/(1-overhead_pct-target_margin_pct)</f>
        <v/>
      </c>
      <c r="S79" s="10">
        <f>S76/(1-overhead_pct-target_margin_pct)</f>
        <v/>
      </c>
      <c r="T79" s="10">
        <f>T76/(1-overhead_pct-target_margin_pct)</f>
        <v/>
      </c>
      <c r="U79" s="10">
        <f>U76/(1-overhead_pct-target_margin_pct)</f>
        <v/>
      </c>
      <c r="V79" s="10">
        <f>V76/(1-overhead_pct-target_margin_pct)</f>
        <v/>
      </c>
      <c r="W79" s="10">
        <f>W76/(1-overhead_pct-target_margin_pct)</f>
        <v/>
      </c>
      <c r="X79" s="10">
        <f>X76/(1-overhead_pct-target_margin_pct)</f>
        <v/>
      </c>
      <c r="Y79" s="10">
        <f>Y76/(1-overhead_pct-target_margin_pct)</f>
        <v/>
      </c>
      <c r="Z79" s="10">
        <f>Z76/(1-overhead_pct-target_margin_pct)</f>
        <v/>
      </c>
      <c r="AA79" s="10">
        <f>AA76/(1-overhead_pct-target_margin_pct)</f>
        <v/>
      </c>
      <c r="AB79" s="10">
        <f>AB76/(1-overhead_pct-target_margin_pct)</f>
        <v/>
      </c>
      <c r="AC79" s="10">
        <f>AC76/(1-overhead_pct-target_margin_pct)</f>
        <v/>
      </c>
      <c r="AD79" s="10">
        <f>AD76/(1-overhead_pct-target_margin_pct)</f>
        <v/>
      </c>
      <c r="AE79" s="10">
        <f>AE76/(1-overhead_pct-target_margin_pct)</f>
        <v/>
      </c>
      <c r="AF79" s="10">
        <f>AF76/(1-overhead_pct-target_margin_pct)</f>
        <v/>
      </c>
      <c r="AG79" s="10">
        <f>AG76/(1-overhead_pct-target_margin_pct)</f>
        <v/>
      </c>
      <c r="AH79" s="10">
        <f>AH76/(1-overhead_pct-target_margin_pct)</f>
        <v/>
      </c>
      <c r="AI79" s="10">
        <f>AI76/(1-overhead_pct-target_margin_pct)</f>
        <v/>
      </c>
    </row>
    <row r="80">
      <c r="A80" s="1" t="inlineStr">
        <is>
          <t>ТАРИФ: ставка за тонну удобрения</t>
        </is>
      </c>
      <c r="B80" t="inlineStr">
        <is>
          <t>сум/т</t>
        </is>
      </c>
      <c r="C80" s="12">
        <f>C79*1000</f>
        <v/>
      </c>
      <c r="D80" s="12">
        <f>D79*1000</f>
        <v/>
      </c>
      <c r="E80" s="12">
        <f>E79*1000</f>
        <v/>
      </c>
      <c r="F80" s="12">
        <f>F79*1000</f>
        <v/>
      </c>
      <c r="G80" s="12">
        <f>G79*1000</f>
        <v/>
      </c>
      <c r="H80" s="12">
        <f>H79*1000</f>
        <v/>
      </c>
      <c r="I80" s="12">
        <f>I79*1000</f>
        <v/>
      </c>
      <c r="J80" s="12">
        <f>J79*1000</f>
        <v/>
      </c>
      <c r="K80" s="12">
        <f>K79*1000</f>
        <v/>
      </c>
      <c r="L80" s="12">
        <f>L79*1000</f>
        <v/>
      </c>
      <c r="M80" s="12">
        <f>M79*1000</f>
        <v/>
      </c>
      <c r="N80" s="12">
        <f>N79*1000</f>
        <v/>
      </c>
      <c r="O80" s="12">
        <f>O79*1000</f>
        <v/>
      </c>
      <c r="P80" s="12">
        <f>P79*1000</f>
        <v/>
      </c>
      <c r="Q80" s="12">
        <f>Q79*1000</f>
        <v/>
      </c>
      <c r="R80" s="12">
        <f>R79*1000</f>
        <v/>
      </c>
      <c r="S80" s="12">
        <f>S79*1000</f>
        <v/>
      </c>
      <c r="T80" s="12">
        <f>T79*1000</f>
        <v/>
      </c>
      <c r="U80" s="12">
        <f>U79*1000</f>
        <v/>
      </c>
      <c r="V80" s="12">
        <f>V79*1000</f>
        <v/>
      </c>
      <c r="W80" s="12">
        <f>W79*1000</f>
        <v/>
      </c>
      <c r="X80" s="12">
        <f>X79*1000</f>
        <v/>
      </c>
      <c r="Y80" s="12">
        <f>Y79*1000</f>
        <v/>
      </c>
      <c r="Z80" s="12">
        <f>Z79*1000</f>
        <v/>
      </c>
      <c r="AA80" s="12">
        <f>AA79*1000</f>
        <v/>
      </c>
      <c r="AB80" s="12">
        <f>AB79*1000</f>
        <v/>
      </c>
      <c r="AC80" s="12">
        <f>AC79*1000</f>
        <v/>
      </c>
      <c r="AD80" s="12">
        <f>AD79*1000</f>
        <v/>
      </c>
      <c r="AE80" s="12">
        <f>AE79*1000</f>
        <v/>
      </c>
      <c r="AF80" s="12">
        <f>AF79*1000</f>
        <v/>
      </c>
      <c r="AG80" s="12">
        <f>AG79*1000</f>
        <v/>
      </c>
      <c r="AH80" s="12">
        <f>AH79*1000</f>
        <v/>
      </c>
      <c r="AI80" s="12">
        <f>AI79*1000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0" customWidth="1" min="4" max="4"/>
    <col width="12" customWidth="1" min="5" max="5"/>
    <col width="14" customWidth="1" min="6" max="6"/>
  </cols>
  <sheetData>
    <row r="1">
      <c r="A1" s="1" t="inlineStr">
        <is>
          <t>Параметр (сценарий 250 кг/га)</t>
        </is>
      </c>
      <c r="B1" s="1" t="inlineStr">
        <is>
          <t>Множитель</t>
        </is>
      </c>
      <c r="C1" s="1" t="inlineStr">
        <is>
          <t>Целевой тариф, сум/га</t>
        </is>
      </c>
      <c r="D1" s="1" t="inlineStr">
        <is>
          <t>Отклонение от базы, %</t>
        </is>
      </c>
      <c r="E1" s="1" t="inlineStr">
        <is>
          <t>Га за день</t>
        </is>
      </c>
      <c r="F1" s="1" t="inlineStr">
        <is>
          <t>Отклонение, %</t>
        </is>
      </c>
    </row>
    <row r="2">
      <c r="A2" t="inlineStr">
        <is>
          <t>База 250 кг/га</t>
        </is>
      </c>
      <c r="B2" t="n">
        <v>1</v>
      </c>
      <c r="C2">
        <f>'Расчёт'!F66</f>
        <v/>
      </c>
      <c r="D2" t="n">
        <v>0</v>
      </c>
      <c r="E2">
        <f>'Расчёт'!F42</f>
        <v/>
      </c>
      <c r="F2" t="n">
        <v>0</v>
      </c>
    </row>
    <row r="3">
      <c r="A3" t="inlineStr">
        <is>
          <t>эффективные часы</t>
        </is>
      </c>
      <c r="B3" s="9" t="n">
        <v>0.8</v>
      </c>
      <c r="C3" s="10">
        <f>'Расчёт'!P66</f>
        <v/>
      </c>
      <c r="D3" s="13">
        <f>C3/$C$2-1</f>
        <v/>
      </c>
      <c r="E3" s="9">
        <f>'Расчёт'!P42</f>
        <v/>
      </c>
      <c r="F3" s="13">
        <f>E3/$E$2-1</f>
        <v/>
      </c>
    </row>
    <row r="4">
      <c r="A4" t="inlineStr">
        <is>
          <t>эффективные часы</t>
        </is>
      </c>
      <c r="B4" s="9" t="n">
        <v>1.2</v>
      </c>
      <c r="C4" s="10">
        <f>'Расчёт'!Q66</f>
        <v/>
      </c>
      <c r="D4" s="13">
        <f>C4/$C$2-1</f>
        <v/>
      </c>
      <c r="E4" s="9">
        <f>'Расчёт'!Q42</f>
        <v/>
      </c>
      <c r="F4" s="13">
        <f>E4/$E$2-1</f>
        <v/>
      </c>
    </row>
    <row r="5">
      <c r="A5" t="inlineStr">
        <is>
          <t>время загрузки</t>
        </is>
      </c>
      <c r="B5" s="9" t="n">
        <v>0.8</v>
      </c>
      <c r="C5" s="10">
        <f>'Расчёт'!R66</f>
        <v/>
      </c>
      <c r="D5" s="13">
        <f>C5/$C$2-1</f>
        <v/>
      </c>
      <c r="E5" s="9">
        <f>'Расчёт'!R42</f>
        <v/>
      </c>
      <c r="F5" s="13">
        <f>E5/$E$2-1</f>
        <v/>
      </c>
    </row>
    <row r="6">
      <c r="A6" t="inlineStr">
        <is>
          <t>время загрузки</t>
        </is>
      </c>
      <c r="B6" s="9" t="n">
        <v>1.2</v>
      </c>
      <c r="C6" s="10">
        <f>'Расчёт'!S66</f>
        <v/>
      </c>
      <c r="D6" s="13">
        <f>C6/$C$2-1</f>
        <v/>
      </c>
      <c r="E6" s="9">
        <f>'Расчёт'!S42</f>
        <v/>
      </c>
      <c r="F6" s="13">
        <f>E6/$E$2-1</f>
        <v/>
      </c>
    </row>
    <row r="7">
      <c r="A7" t="inlineStr">
        <is>
          <t>накладное время вылета</t>
        </is>
      </c>
      <c r="B7" s="9" t="n">
        <v>0.8</v>
      </c>
      <c r="C7" s="10">
        <f>'Расчёт'!T66</f>
        <v/>
      </c>
      <c r="D7" s="13">
        <f>C7/$C$2-1</f>
        <v/>
      </c>
      <c r="E7" s="9">
        <f>'Расчёт'!T42</f>
        <v/>
      </c>
      <c r="F7" s="13">
        <f>E7/$E$2-1</f>
        <v/>
      </c>
    </row>
    <row r="8">
      <c r="A8" t="inlineStr">
        <is>
          <t>накладное время вылета</t>
        </is>
      </c>
      <c r="B8" s="9" t="n">
        <v>1.2</v>
      </c>
      <c r="C8" s="10">
        <f>'Расчёт'!U66</f>
        <v/>
      </c>
      <c r="D8" s="13">
        <f>C8/$C$2-1</f>
        <v/>
      </c>
      <c r="E8" s="9">
        <f>'Расчёт'!U42</f>
        <v/>
      </c>
      <c r="F8" s="13">
        <f>E8/$E$2-1</f>
        <v/>
      </c>
    </row>
    <row r="9">
      <c r="A9" t="inlineStr">
        <is>
          <t>полезная нагрузка</t>
        </is>
      </c>
      <c r="B9" s="9" t="n">
        <v>0.9</v>
      </c>
      <c r="C9" s="10">
        <f>'Расчёт'!V66</f>
        <v/>
      </c>
      <c r="D9" s="13">
        <f>C9/$C$2-1</f>
        <v/>
      </c>
      <c r="E9" s="9">
        <f>'Расчёт'!V42</f>
        <v/>
      </c>
      <c r="F9" s="13">
        <f>E9/$E$2-1</f>
        <v/>
      </c>
    </row>
    <row r="10">
      <c r="A10" t="inlineStr">
        <is>
          <t>полезная нагрузка</t>
        </is>
      </c>
      <c r="B10" s="9" t="n">
        <v>1.1</v>
      </c>
      <c r="C10" s="10">
        <f>'Расчёт'!W66</f>
        <v/>
      </c>
      <c r="D10" s="13">
        <f>C10/$C$2-1</f>
        <v/>
      </c>
      <c r="E10" s="9">
        <f>'Расчёт'!W42</f>
        <v/>
      </c>
      <c r="F10" s="13">
        <f>E10/$E$2-1</f>
        <v/>
      </c>
    </row>
    <row r="11">
      <c r="A11" t="inlineStr">
        <is>
          <t>подача гранул</t>
        </is>
      </c>
      <c r="B11" s="9" t="n">
        <v>0.8</v>
      </c>
      <c r="C11" s="10">
        <f>'Расчёт'!X66</f>
        <v/>
      </c>
      <c r="D11" s="13">
        <f>C11/$C$2-1</f>
        <v/>
      </c>
      <c r="E11" s="9">
        <f>'Расчёт'!X42</f>
        <v/>
      </c>
      <c r="F11" s="13">
        <f>E11/$E$2-1</f>
        <v/>
      </c>
    </row>
    <row r="12">
      <c r="A12" t="inlineStr">
        <is>
          <t>подача гранул</t>
        </is>
      </c>
      <c r="B12" s="9" t="n">
        <v>1.2</v>
      </c>
      <c r="C12" s="10">
        <f>'Расчёт'!Y66</f>
        <v/>
      </c>
      <c r="D12" s="13">
        <f>C12/$C$2-1</f>
        <v/>
      </c>
      <c r="E12" s="9">
        <f>'Расчёт'!Y42</f>
        <v/>
      </c>
      <c r="F12" s="13">
        <f>E12/$E$2-1</f>
        <v/>
      </c>
    </row>
    <row r="13">
      <c r="A13" t="inlineStr">
        <is>
          <t>цена батареи</t>
        </is>
      </c>
      <c r="B13" s="9" t="n">
        <v>0.8</v>
      </c>
      <c r="C13" s="10">
        <f>'Расчёт'!Z66</f>
        <v/>
      </c>
      <c r="D13" s="13">
        <f>C13/$C$2-1</f>
        <v/>
      </c>
      <c r="E13" s="9">
        <f>'Расчёт'!Z42</f>
        <v/>
      </c>
      <c r="F13" s="13">
        <f>E13/$E$2-1</f>
        <v/>
      </c>
    </row>
    <row r="14">
      <c r="A14" t="inlineStr">
        <is>
          <t>цена батареи</t>
        </is>
      </c>
      <c r="B14" s="9" t="n">
        <v>1.2</v>
      </c>
      <c r="C14" s="10">
        <f>'Расчёт'!AA66</f>
        <v/>
      </c>
      <c r="D14" s="13">
        <f>C14/$C$2-1</f>
        <v/>
      </c>
      <c r="E14" s="9">
        <f>'Расчёт'!AA42</f>
        <v/>
      </c>
      <c r="F14" s="13">
        <f>E14/$E$2-1</f>
        <v/>
      </c>
    </row>
    <row r="15">
      <c r="A15" t="inlineStr">
        <is>
          <t>оплата пилота</t>
        </is>
      </c>
      <c r="B15" s="9" t="n">
        <v>0.8</v>
      </c>
      <c r="C15" s="10">
        <f>'Расчёт'!AB66</f>
        <v/>
      </c>
      <c r="D15" s="13">
        <f>C15/$C$2-1</f>
        <v/>
      </c>
      <c r="E15" s="9">
        <f>'Расчёт'!AB42</f>
        <v/>
      </c>
      <c r="F15" s="13">
        <f>E15/$E$2-1</f>
        <v/>
      </c>
    </row>
    <row r="16">
      <c r="A16" t="inlineStr">
        <is>
          <t>оплата пилота</t>
        </is>
      </c>
      <c r="B16" s="9" t="n">
        <v>1.2</v>
      </c>
      <c r="C16" s="10">
        <f>'Расчёт'!AC66</f>
        <v/>
      </c>
      <c r="D16" s="13">
        <f>C16/$C$2-1</f>
        <v/>
      </c>
      <c r="E16" s="9">
        <f>'Расчёт'!AC42</f>
        <v/>
      </c>
      <c r="F16" s="13">
        <f>E16/$E$2-1</f>
        <v/>
      </c>
    </row>
    <row r="17">
      <c r="A17" t="inlineStr">
        <is>
          <t>цена бензина</t>
        </is>
      </c>
      <c r="B17" s="9" t="n">
        <v>0.8</v>
      </c>
      <c r="C17" s="10">
        <f>'Расчёт'!AD66</f>
        <v/>
      </c>
      <c r="D17" s="13">
        <f>C17/$C$2-1</f>
        <v/>
      </c>
      <c r="E17" s="9">
        <f>'Расчёт'!AD42</f>
        <v/>
      </c>
      <c r="F17" s="13">
        <f>E17/$E$2-1</f>
        <v/>
      </c>
    </row>
    <row r="18">
      <c r="A18" t="inlineStr">
        <is>
          <t>цена бензина</t>
        </is>
      </c>
      <c r="B18" s="9" t="n">
        <v>1.2</v>
      </c>
      <c r="C18" s="10">
        <f>'Расчёт'!AE66</f>
        <v/>
      </c>
      <c r="D18" s="13">
        <f>C18/$C$2-1</f>
        <v/>
      </c>
      <c r="E18" s="9">
        <f>'Расчёт'!AE42</f>
        <v/>
      </c>
      <c r="F18" s="13">
        <f>E18/$E$2-1</f>
        <v/>
      </c>
    </row>
    <row r="19">
      <c r="A19" t="inlineStr">
        <is>
          <t>ресурс батареи</t>
        </is>
      </c>
      <c r="B19" s="9" t="n">
        <v>0.8</v>
      </c>
      <c r="C19" s="10">
        <f>'Расчёт'!AF66</f>
        <v/>
      </c>
      <c r="D19" s="13">
        <f>C19/$C$2-1</f>
        <v/>
      </c>
      <c r="E19" s="9">
        <f>'Расчёт'!AF42</f>
        <v/>
      </c>
      <c r="F19" s="13">
        <f>E19/$E$2-1</f>
        <v/>
      </c>
    </row>
    <row r="20">
      <c r="A20" t="inlineStr">
        <is>
          <t>ресурс батареи</t>
        </is>
      </c>
      <c r="B20" s="9" t="n">
        <v>1.2</v>
      </c>
      <c r="C20" s="10">
        <f>'Расчёт'!AG66</f>
        <v/>
      </c>
      <c r="D20" s="13">
        <f>C20/$C$2-1</f>
        <v/>
      </c>
      <c r="E20" s="9">
        <f>'Расчёт'!AG42</f>
        <v/>
      </c>
      <c r="F20" s="13">
        <f>E20/$E$2-1</f>
        <v/>
      </c>
    </row>
    <row r="21">
      <c r="A21" t="inlineStr">
        <is>
          <t>рабочих дней в сезоне</t>
        </is>
      </c>
      <c r="B21" s="9" t="n">
        <v>0.8</v>
      </c>
      <c r="C21" s="10">
        <f>'Расчёт'!AH66</f>
        <v/>
      </c>
      <c r="D21" s="13">
        <f>C21/$C$2-1</f>
        <v/>
      </c>
      <c r="E21" s="9">
        <f>'Расчёт'!AH42</f>
        <v/>
      </c>
      <c r="F21" s="13">
        <f>E21/$E$2-1</f>
        <v/>
      </c>
    </row>
    <row r="22">
      <c r="A22" t="inlineStr">
        <is>
          <t>рабочих дней в сезоне</t>
        </is>
      </c>
      <c r="B22" s="9" t="n">
        <v>1.2</v>
      </c>
      <c r="C22" s="10">
        <f>'Расчёт'!AI66</f>
        <v/>
      </c>
      <c r="D22" s="13">
        <f>C22/$C$2-1</f>
        <v/>
      </c>
      <c r="E22" s="9">
        <f>'Расчёт'!AI42</f>
        <v/>
      </c>
      <c r="F22" s="13">
        <f>E22/$E$2-1</f>
        <v/>
      </c>
    </row>
    <row r="24">
      <c r="A24" s="5" t="inlineStr">
        <is>
          <t>Чтение: чем больше отклонение при одинаковом множителе, тем сильнее параметр влияет на тариф. Это и есть то, что надо измерять в пилоте первым.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26" customWidth="1" min="3" max="3"/>
    <col width="26" customWidth="1" min="4" max="4"/>
  </cols>
  <sheetData>
    <row r="1">
      <c r="A1" s="1" t="inlineStr">
        <is>
          <t>Показатель</t>
        </is>
      </c>
      <c r="B1" s="1" t="inlineStr">
        <is>
          <t>Единица</t>
        </is>
      </c>
      <c r="C1" s="1" t="inlineStr">
        <is>
          <t>База 150 кг/га (карбамид)</t>
        </is>
      </c>
      <c r="D1" s="1" t="inlineStr">
        <is>
          <t>База 250 кг/га (селитра)</t>
        </is>
      </c>
    </row>
    <row r="2">
      <c r="A2" t="inlineStr">
        <is>
          <t>Гектаров за сезон на один борт</t>
        </is>
      </c>
      <c r="B2" t="inlineStr">
        <is>
          <t>га</t>
        </is>
      </c>
      <c r="C2" s="9">
        <f>'Расчёт'!D42*days_per_season</f>
        <v/>
      </c>
      <c r="D2" s="9">
        <f>'Расчёт'!F42*days_per_season</f>
        <v/>
      </c>
    </row>
    <row r="3">
      <c r="A3" t="inlineStr">
        <is>
          <t>Гектаров за сезон, все борта</t>
        </is>
      </c>
      <c r="B3" t="inlineStr">
        <is>
          <t>га</t>
        </is>
      </c>
      <c r="C3" s="9">
        <f>C2*drones_in_winter</f>
        <v/>
      </c>
      <c r="D3" s="9">
        <f>D2*drones_in_winter</f>
        <v/>
      </c>
    </row>
    <row r="4">
      <c r="A4" t="inlineStr">
        <is>
          <t>Выручка по целевому тарифу</t>
        </is>
      </c>
      <c r="B4" t="inlineStr">
        <is>
          <t>сум</t>
        </is>
      </c>
      <c r="C4" s="10">
        <f>C3*'Расчёт'!D66</f>
        <v/>
      </c>
      <c r="D4" s="10">
        <f>D3*'Расчёт'!F66</f>
        <v/>
      </c>
    </row>
    <row r="5">
      <c r="A5" t="inlineStr">
        <is>
          <t>Прямые затраты</t>
        </is>
      </c>
      <c r="B5" t="inlineStr">
        <is>
          <t>сум</t>
        </is>
      </c>
      <c r="C5" s="10">
        <f>C3*'Расчёт'!D64</f>
        <v/>
      </c>
      <c r="D5" s="10">
        <f>D3*'Расчёт'!F64</f>
        <v/>
      </c>
    </row>
    <row r="6">
      <c r="A6" t="inlineStr">
        <is>
          <t>Накладные</t>
        </is>
      </c>
      <c r="B6" t="inlineStr">
        <is>
          <t>сум</t>
        </is>
      </c>
      <c r="C6" s="10">
        <f>C4*overhead_pct</f>
        <v/>
      </c>
      <c r="D6" s="10">
        <f>D4*overhead_pct</f>
        <v/>
      </c>
    </row>
    <row r="7">
      <c r="A7" t="inlineStr">
        <is>
          <t>Разбрасывателей докупить</t>
        </is>
      </c>
      <c r="B7" t="inlineStr">
        <is>
          <t>шт</t>
        </is>
      </c>
      <c r="C7" s="9">
        <f>MAX(0,drones_in_winter-spreaders_owned)</f>
        <v/>
      </c>
      <c r="D7" s="9">
        <f>MAX(0,drones_in_winter-spreaders_owned)</f>
        <v/>
      </c>
    </row>
    <row r="8">
      <c r="A8" t="inlineStr">
        <is>
          <t>Разовые расходы сезона</t>
        </is>
      </c>
      <c r="B8" t="inlineStr">
        <is>
          <t>сум</t>
        </is>
      </c>
      <c r="C8" s="10">
        <f>C7*spreader_price_usd*usd_rate+season_one_time_other</f>
        <v/>
      </c>
      <c r="D8" s="10">
        <f>D7*spreader_price_usd*usd_rate+season_one_time_other</f>
        <v/>
      </c>
    </row>
    <row r="9">
      <c r="A9" t="inlineStr">
        <is>
          <t>Маржа до разовых расходов</t>
        </is>
      </c>
      <c r="B9" t="inlineStr">
        <is>
          <t>сум</t>
        </is>
      </c>
      <c r="C9" s="10">
        <f>C4-C5-C6</f>
        <v/>
      </c>
      <c r="D9" s="10">
        <f>D4-D5-D6</f>
        <v/>
      </c>
    </row>
    <row r="10">
      <c r="A10" s="1" t="inlineStr">
        <is>
          <t>РЕЗУЛЬТАТ СЕЗОНА</t>
        </is>
      </c>
      <c r="B10" t="inlineStr">
        <is>
          <t>сум</t>
        </is>
      </c>
      <c r="C10" s="12">
        <f>C9-C8</f>
        <v/>
      </c>
      <c r="D10" s="12">
        <f>D9-D8</f>
        <v/>
      </c>
    </row>
    <row r="11">
      <c r="A11" t="inlineStr">
        <is>
          <t>Результат сезона</t>
        </is>
      </c>
      <c r="B11" t="inlineStr">
        <is>
          <t>USD</t>
        </is>
      </c>
      <c r="C11" s="10">
        <f>C10/usd_rate</f>
        <v/>
      </c>
      <c r="D11" s="10">
        <f>D10/usd_rate</f>
        <v/>
      </c>
    </row>
    <row r="13">
      <c r="A13" s="5" t="inlineStr">
        <is>
          <t>Для сравнения: сентябрь 2026 -- около 7 000 га опрыскивания в месяц по 200 000 сум/га, то есть ~1,4 млрд сум выручки за месяц пика. Зимнее разбрасывание -- заполнение простоя, не второй сезон.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8" customWidth="1" min="3" max="3"/>
  </cols>
  <sheetData>
    <row r="1">
      <c r="A1" s="1" t="inlineStr">
        <is>
          <t>КАЛИБРОВКА: та же модель затрат для текущего опрыскивания</t>
        </is>
      </c>
      <c r="B1" t="inlineStr">
        <is>
          <t>Единица</t>
        </is>
      </c>
      <c r="C1" t="inlineStr">
        <is>
          <t>Значение</t>
        </is>
      </c>
    </row>
    <row r="2">
      <c r="A2" t="inlineStr">
        <is>
          <t>Вылетов в час</t>
        </is>
      </c>
      <c r="B2" t="inlineStr">
        <is>
          <t>шт</t>
        </is>
      </c>
      <c r="C2" s="9">
        <f>60/(liq_flight_min+liq_refill_min)</f>
        <v/>
      </c>
    </row>
    <row r="3">
      <c r="A3" t="inlineStr">
        <is>
          <t>Гектаров за день</t>
        </is>
      </c>
      <c r="B3" t="inlineStr">
        <is>
          <t>га</t>
        </is>
      </c>
      <c r="C3" s="9">
        <f>C2*liq_ha_per_flight*eff_hours_per_day</f>
        <v/>
      </c>
    </row>
    <row r="4">
      <c r="A4" t="inlineStr">
        <is>
          <t>Доля цикла батареи за вылет</t>
        </is>
      </c>
      <c r="B4" t="inlineStr">
        <is>
          <t>доля</t>
        </is>
      </c>
      <c r="C4" s="9">
        <f>liq_flight_min/liq_cycle_equiv_min</f>
        <v/>
      </c>
    </row>
    <row r="5">
      <c r="A5" t="inlineStr">
        <is>
          <t>Износ батареи за вылет</t>
        </is>
      </c>
      <c r="B5" t="inlineStr">
        <is>
          <t>сум</t>
        </is>
      </c>
      <c r="C5" s="10">
        <f>battery_price_usd*usd_rate/battery_cycles*C4</f>
        <v/>
      </c>
    </row>
    <row r="6">
      <c r="A6" t="inlineStr">
        <is>
          <t>Бензин за вылет</t>
        </is>
      </c>
      <c r="B6" t="inlineStr">
        <is>
          <t>сум</t>
        </is>
      </c>
      <c r="C6" s="10">
        <f>battery_kwh*C4/charge_eff*gen_l_per_kwh*petrol_price</f>
        <v/>
      </c>
    </row>
    <row r="7">
      <c r="A7" t="inlineStr">
        <is>
          <t>Износ дрона за вылет</t>
        </is>
      </c>
      <c r="B7" t="inlineStr">
        <is>
          <t>сум</t>
        </is>
      </c>
      <c r="C7" s="10">
        <f>drone_wear_usd_h*usd_rate*liq_flight_min/60</f>
        <v/>
      </c>
    </row>
    <row r="8">
      <c r="A8" t="inlineStr">
        <is>
          <t>Итого за вылет</t>
        </is>
      </c>
      <c r="B8" t="inlineStr">
        <is>
          <t>сум</t>
        </is>
      </c>
      <c r="C8" s="10">
        <f>C5+C6+C7</f>
        <v/>
      </c>
    </row>
    <row r="9">
      <c r="A9" t="inlineStr">
        <is>
          <t>Батареи, бензин, износ на гектар</t>
        </is>
      </c>
      <c r="B9" t="inlineStr">
        <is>
          <t>сум/га</t>
        </is>
      </c>
      <c r="C9" s="10">
        <f>C8/liq_ha_per_flight</f>
        <v/>
      </c>
    </row>
    <row r="10">
      <c r="A10" t="inlineStr">
        <is>
          <t>Экипаж, транспорт, прочее на гектар</t>
        </is>
      </c>
      <c r="B10" t="inlineStr">
        <is>
          <t>сум/га</t>
        </is>
      </c>
      <c r="C10" s="10">
        <f>(pilot_day+helpers_count*helper_day+vehicle_km*(diesel_l_100km/100*diesel_price+vehicle_wear_km)+per_diem_day+other_day)/C3</f>
        <v/>
      </c>
    </row>
    <row r="11">
      <c r="A11" s="1" t="inlineStr">
        <is>
          <t>ПРЯМАЯ СЕБЕСТОИМОСТЬ ГЕКТАРА ОПРЫСКИВАНИЯ</t>
        </is>
      </c>
      <c r="B11" t="inlineStr">
        <is>
          <t>сум/га</t>
        </is>
      </c>
      <c r="C11" s="12">
        <f>C9+C10</f>
        <v/>
      </c>
    </row>
    <row r="12">
      <c r="A12" t="inlineStr">
        <is>
          <t>Маржа с гектара при 200 000 (после накладных)</t>
        </is>
      </c>
      <c r="B12" t="inlineStr">
        <is>
          <t>сум/га</t>
        </is>
      </c>
      <c r="C12" s="10">
        <f>liquid_tariff_external-C11-liquid_tariff_external*overhead_pct</f>
        <v/>
      </c>
    </row>
    <row r="13">
      <c r="A13" t="inlineStr">
        <is>
          <t>Внутренняя ставка минус прямая себестоимость</t>
        </is>
      </c>
      <c r="B13" t="inlineStr">
        <is>
          <t>сум/га</t>
        </is>
      </c>
      <c r="C13" s="10">
        <f>liquid_tariff_internal-C11</f>
        <v/>
      </c>
    </row>
    <row r="14">
      <c r="A14" s="5" t="inlineStr">
        <is>
          <t>Чтение: прямая себестоимость опрыскивания по этой модели должна лечь рядом с внутренней ставкой 75-86 тыс. сум/га. Если нет -- входы блока «Люди и транспорт» завышены или занижены.</t>
        </is>
      </c>
    </row>
    <row r="16">
      <c r="A16" s="1" t="inlineStr">
        <is>
          <t>СТОРОНА ФЕРМЕРА: селитра 200 кг/га, тариф «за тонну» базы 250</t>
        </is>
      </c>
    </row>
    <row r="17">
      <c r="A17" t="inlineStr">
        <is>
          <t>Норма внесения</t>
        </is>
      </c>
      <c r="B17" t="inlineStr">
        <is>
          <t>кг/га</t>
        </is>
      </c>
      <c r="C17" s="14">
        <f>200</f>
        <v/>
      </c>
    </row>
    <row r="18">
      <c r="A18" t="inlineStr">
        <is>
          <t>Стоимость удобрения</t>
        </is>
      </c>
      <c r="B18" t="inlineStr">
        <is>
          <t>сум/га</t>
        </is>
      </c>
      <c r="C18" s="10">
        <f>C17/1000*nitrate_price_t</f>
        <v/>
      </c>
    </row>
    <row r="19">
      <c r="A19" t="inlineStr">
        <is>
          <t>Услуга дрона: ставка за тонну x норма, не ниже минимума за гектар</t>
        </is>
      </c>
      <c r="B19" t="inlineStr">
        <is>
          <t>сум/га</t>
        </is>
      </c>
      <c r="C19" s="10">
        <f>MAX('Расчёт'!F80*10000/(swath_eff_m*speed_ms)/60*flow_kg_min/1000,'Расчёт'!F80*C17/1000)</f>
        <v/>
      </c>
    </row>
    <row r="20">
      <c r="A20" t="inlineStr">
        <is>
          <t>Итого подкормка дроном</t>
        </is>
      </c>
      <c r="B20" t="inlineStr">
        <is>
          <t>сум/га</t>
        </is>
      </c>
      <c r="C20" s="10">
        <f>C18+C19</f>
        <v/>
      </c>
    </row>
    <row r="21">
      <c r="A21" t="inlineStr">
        <is>
          <t>Итого подкормка трактором/вручную</t>
        </is>
      </c>
      <c r="B21" t="inlineStr">
        <is>
          <t>сум/га</t>
        </is>
      </c>
      <c r="C21" s="10">
        <f>C18+ground_spread_cost_ha</f>
        <v/>
      </c>
    </row>
    <row r="22">
      <c r="A22" t="inlineStr">
        <is>
          <t>Надбавка за дрон против наземной альтернативы</t>
        </is>
      </c>
      <c r="B22" t="inlineStr">
        <is>
          <t>сум/га</t>
        </is>
      </c>
      <c r="C22" s="12">
        <f>C19-ground_spread_cost_ha</f>
        <v/>
      </c>
    </row>
    <row r="23">
      <c r="A23" t="inlineStr">
        <is>
          <t>Прибавка урожая, окупающая надбавку</t>
        </is>
      </c>
      <c r="B23" t="inlineStr">
        <is>
          <t>кг/га</t>
        </is>
      </c>
      <c r="C23" s="14">
        <f>C22/wheat_price_t*1000</f>
        <v/>
      </c>
    </row>
    <row r="24">
      <c r="A24" t="inlineStr">
        <is>
          <t>Та же прибавка в долях урожая</t>
        </is>
      </c>
      <c r="B24" t="inlineStr">
        <is>
          <t>доля</t>
        </is>
      </c>
      <c r="C24" s="15">
        <f>C23/1000/wheat_yield_t_ha</f>
        <v/>
      </c>
    </row>
    <row r="25">
      <c r="A25" t="inlineStr">
        <is>
          <t>Услуга к стоимости удобрения</t>
        </is>
      </c>
      <c r="B25" t="inlineStr">
        <is>
          <t>доля</t>
        </is>
      </c>
      <c r="C25" s="13">
        <f>C19/C18</f>
        <v/>
      </c>
    </row>
    <row r="27">
      <c r="A27" s="5" t="inlineStr">
        <is>
          <t>Чтение: фермеру дрон выгоден, если своевременность и равномерность дают прибавку урожая не меньше строки «Прибавка урожая, окупающая надбавку». Это главный аргумент КП, и его надо подтвердить агрономом.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26" customWidth="1" min="3" max="3"/>
  </cols>
  <sheetData>
    <row r="1">
      <c r="A1" s="1" t="inlineStr">
        <is>
          <t>ТАРИФ ДЛЯ КП: ставка за тонну и минимум за гектар (из сценария «База 250», округление до 5 000 сум)</t>
        </is>
      </c>
      <c r="B1" t="inlineStr"/>
      <c r="C1" t="inlineStr"/>
    </row>
    <row r="2">
      <c r="A2" t="inlineStr">
        <is>
          <t>Ставка за тонну внесённого удобрения</t>
        </is>
      </c>
      <c r="B2" t="inlineStr">
        <is>
          <t>сум/т</t>
        </is>
      </c>
      <c r="C2" s="12">
        <f>ROUND('Расчёт'!F80/5000,0)*5000</f>
        <v/>
      </c>
    </row>
    <row r="3">
      <c r="A3" t="inlineStr">
        <is>
          <t>Норма, ниже которой скорость ограничивает не подача, а предел скорости</t>
        </is>
      </c>
      <c r="B3" t="inlineStr">
        <is>
          <t>кг/га</t>
        </is>
      </c>
      <c r="C3" s="16">
        <f>10000/(swath_eff_m*speed_ms)/60*flow_kg_min</f>
        <v/>
      </c>
    </row>
    <row r="4">
      <c r="A4" t="inlineStr">
        <is>
          <t>Минимальная цена гектара (тариф за тонну x эта норма)</t>
        </is>
      </c>
      <c r="B4" t="inlineStr">
        <is>
          <t>сум/га</t>
        </is>
      </c>
      <c r="C4" s="12">
        <f>ROUND($C$2*$C$3/1000/5000,0)*5000</f>
        <v/>
      </c>
    </row>
    <row r="6">
      <c r="A6" s="1" t="inlineStr">
        <is>
          <t>Норма, кг/га</t>
        </is>
      </c>
      <c r="B6" s="1" t="inlineStr">
        <is>
          <t>Цена для фермера, сум/га</t>
        </is>
      </c>
      <c r="C6" s="1" t="inlineStr">
        <is>
          <t>К тарифу опрыскивания, раз</t>
        </is>
      </c>
    </row>
    <row r="7">
      <c r="A7" t="n">
        <v>100</v>
      </c>
      <c r="B7" s="10">
        <f>MAX($C$4,$C$2*A7/1000)</f>
        <v/>
      </c>
      <c r="C7" s="9">
        <f>B7/liquid_tariff_external</f>
        <v/>
      </c>
    </row>
    <row r="8">
      <c r="A8" t="n">
        <v>150</v>
      </c>
      <c r="B8" s="10">
        <f>MAX($C$4,$C$2*A8/1000)</f>
        <v/>
      </c>
      <c r="C8" s="9">
        <f>B8/liquid_tariff_external</f>
        <v/>
      </c>
    </row>
    <row r="9">
      <c r="A9" t="n">
        <v>200</v>
      </c>
      <c r="B9" s="10">
        <f>MAX($C$4,$C$2*A9/1000)</f>
        <v/>
      </c>
      <c r="C9" s="9">
        <f>B9/liquid_tariff_external</f>
        <v/>
      </c>
    </row>
    <row r="10">
      <c r="A10" t="n">
        <v>250</v>
      </c>
      <c r="B10" s="10">
        <f>MAX($C$4,$C$2*A10/1000)</f>
        <v/>
      </c>
      <c r="C10" s="9">
        <f>B10/liquid_tariff_external</f>
        <v/>
      </c>
    </row>
    <row r="11">
      <c r="A11" t="n">
        <v>300</v>
      </c>
      <c r="B11" s="10">
        <f>MAX($C$4,$C$2*A11/1000)</f>
        <v/>
      </c>
      <c r="C11" s="9">
        <f>B11/liquid_tariff_external</f>
        <v/>
      </c>
    </row>
    <row r="12">
      <c r="A12" t="n">
        <v>400</v>
      </c>
      <c r="B12" s="10">
        <f>MAX($C$4,$C$2*A12/1000)</f>
        <v/>
      </c>
      <c r="C12" s="9">
        <f>B12/liquid_tariff_external</f>
        <v/>
      </c>
    </row>
    <row r="14">
      <c r="A14" s="5" t="inlineStr">
        <is>
          <t>Почему «за тонну»: при нормах выше ~120 кг/га скорость над полем задаёт подача гранул (норматив: 8-11 км/ч при 7 м), и время над гектаром растёт пропорционально норме, как и число вылетов. Себестоимость гектара становится почти чисто пропорциональной килограммам -- строка C0 на листе «Расчёт» равна нулю, а ставка за тонну одинакова для 150, 250 и 400 кг/га. Минимум за гектар защищает выезд на лёгких нормах.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60" customWidth="1" min="3" max="3"/>
  </cols>
  <sheetData>
    <row r="1">
      <c r="A1" s="1" t="inlineStr">
        <is>
          <t>Тип</t>
        </is>
      </c>
      <c r="B1" s="1" t="inlineStr">
        <is>
          <t>Утверждение</t>
        </is>
      </c>
      <c r="C1" s="1" t="inlineStr">
        <is>
          <t>Источник</t>
        </is>
      </c>
    </row>
    <row r="2">
      <c r="A2" t="inlineStr">
        <is>
          <t>ФАКТ</t>
        </is>
      </c>
      <c r="B2" s="5" t="inlineStr">
        <is>
          <t>DJI Agras T40: бак разбрасывателя 70 л / 50 кг, ширина 7 м, гранулы 0,5-5 мм, висение 6 мин при 101 кг, 7 мин при 90 кг, 18 мин при 50 кг; заявка 1,5 т/ч* при 149 кг/га, 7 м/с, 3 м</t>
        </is>
      </c>
      <c r="C2" s="5" t="inlineStr">
        <is>
          <t>Страницы DJI (dji.com/t40/specs, support) в пересказе поисковой выдачи; ритейлеры DJI (Dronefly, Ferntech, Aerosmart)</t>
        </is>
      </c>
    </row>
    <row r="3">
      <c r="A3" t="inlineStr">
        <is>
          <t>ФАКТ</t>
        </is>
      </c>
      <c r="B3" s="5" t="inlineStr">
        <is>
          <t>Батарея DB1560 30 000 мА·ч, 52,22 В; розница США 2 499 USD; гарантия 1 000-1 500 циклов (ритейлеры расходятся)</t>
        </is>
      </c>
      <c r="C3" s="5" t="inlineStr">
        <is>
          <t>Dronefly, DSLRPros, Reach.dog, Maverick Drone</t>
        </is>
      </c>
    </row>
    <row r="4">
      <c r="A4" t="inlineStr">
        <is>
          <t>ФАКТ</t>
        </is>
      </c>
      <c r="B4" s="5" t="inlineStr">
        <is>
          <t>Генератор D12000iE: 500 мл/кВт·ч, заряд батареи T40 9-12 мин</t>
        </is>
      </c>
      <c r="C4" s="5" t="inlineStr">
        <is>
          <t>Dronefly, Aerosmart, manualslib (пересказ)</t>
        </is>
      </c>
    </row>
    <row r="5">
      <c r="A5" t="inlineStr">
        <is>
          <t>ФАКТ</t>
        </is>
      </c>
      <c r="B5" s="5" t="inlineStr">
        <is>
          <t>Разбрасыватель T40 Spreading System 3.0: 1 199-1 499 USD; подача до 90 кг/мин</t>
        </is>
      </c>
      <c r="C5" s="5" t="inlineStr">
        <is>
          <t>Uniquephoto, Rippingitoutdoors, rcdrone.top</t>
        </is>
      </c>
    </row>
    <row r="6">
      <c r="A6" t="inlineStr">
        <is>
          <t>ФАКТ</t>
        </is>
      </c>
      <c r="B6" s="5" t="inlineStr">
        <is>
          <t>Дрон T40 б/у 2025 с 3 АКБ: 19 000 USD (США); новый без АКБ 13 499-15 999 USD</t>
        </is>
      </c>
      <c r="C6" s="5" t="inlineStr">
        <is>
          <t>Controller.com, Reach.dog</t>
        </is>
      </c>
    </row>
    <row r="7">
      <c r="A7" t="inlineStr">
        <is>
          <t>ФАКТ</t>
        </is>
      </c>
      <c r="B7" s="5" t="inlineStr">
        <is>
          <t>АИ-92 Ташкент 22.09.2026: 12 600 / 13 900 сум/л; дизель 14 700-15 900 сум/л; биржа дизель апр. 2026 15,86 млн сум/т</t>
        </is>
      </c>
      <c r="C7" s="5" t="inlineStr">
        <is>
          <t>Avtoelon.uz, Autostrada.uz, Kun.uz</t>
        </is>
      </c>
    </row>
    <row r="8">
      <c r="A8" t="inlineStr">
        <is>
          <t>ФАКТ</t>
        </is>
      </c>
      <c r="B8" s="5" t="inlineStr">
        <is>
          <t>Курс ЦБ РУз 29.10.2026: 11 965-12 004 сум/USD</t>
        </is>
      </c>
      <c r="C8" s="5" t="inlineStr">
        <is>
          <t>Kursiv.media, Repost.uz</t>
        </is>
      </c>
    </row>
    <row r="9">
      <c r="A9" t="inlineStr">
        <is>
          <t>ФАКТ</t>
        </is>
      </c>
      <c r="B9" s="5" t="inlineStr">
        <is>
          <t>Аммиачная селитра UZEX, авг. 2026: 3 813,2 -&gt; 3 766,5 тыс. сум/т</t>
        </is>
      </c>
      <c r="C9" s="5" t="inlineStr">
        <is>
          <t>Yuz.uz (биржевой обзор)</t>
        </is>
      </c>
    </row>
    <row r="10">
      <c r="A10" t="inlineStr">
        <is>
          <t>ФАКТ</t>
        </is>
      </c>
      <c r="B10" s="5" t="inlineStr">
        <is>
          <t>Внутренняя ставка опрыскивания 75 040-86 000 сум/га; внешняя 200 000 сум/га; 1,0-1,25 га за вылет; 27-41 л/га; сентябрь 2026 ~7 071 га RAW по 15 бортам</t>
        </is>
      </c>
      <c r="C10" s="5" t="inlineStr">
        <is>
          <t>Репозиторий: docs/tracks/drones.md (DRONE-MONEY-001, DRONE-OCT2025-PRICE-001, UAT 30.09.2026)</t>
        </is>
      </c>
    </row>
    <row r="11">
      <c r="A11" t="inlineStr">
        <is>
          <t>ФАКТ</t>
        </is>
      </c>
      <c r="B11" s="5" t="inlineStr">
        <is>
          <t>Нормативная таблица владельца (30.10.2026): опрыскивание 40 л/2 га при 36 км/ч, 6,5 м, 2 м или 20 л/2 га при 22 км/ч, 7 м, 3 м, 200 000 сум; разбрасывание 50 кг: карбамид/аммофос 0,25 га при 11 км/ч, селитра 0,125 га при 8 км/ч, ширина 7 м, высота 3 м</t>
        </is>
      </c>
      <c r="C11" s="5" t="inlineStr">
        <is>
          <t>Файл владельца, лист «Лист1»</t>
        </is>
      </c>
    </row>
    <row r="12">
      <c r="A12" t="inlineStr">
        <is>
          <t>ФАКТ</t>
        </is>
      </c>
      <c r="B12" s="5" t="inlineStr">
        <is>
          <t>Март 2026 -- первая работа сезона: 1 340 га, 11 бортов; в феврале работ не было</t>
        </is>
      </c>
      <c r="C12" s="5" t="inlineStr">
        <is>
          <t>Владелец, 30.10.2026</t>
        </is>
      </c>
    </row>
    <row r="13">
      <c r="A13" t="inlineStr">
        <is>
          <t>ФАКТ</t>
        </is>
      </c>
      <c r="B13" s="5" t="inlineStr">
        <is>
          <t>Селитра -- наиболее коррозионно-активное удобрение; следы селитры ускоряют коррозию в 2,5 раза</t>
        </is>
      </c>
      <c r="C13" s="5" t="inlineStr">
        <is>
          <t>РГАУ-МСХА, Агроинженерия 2026; Тамбов 2018</t>
        </is>
      </c>
    </row>
    <row r="14">
      <c r="A14" t="inlineStr">
        <is>
          <t>ОЦЕНКА</t>
        </is>
      </c>
      <c r="B14" s="5" t="inlineStr">
        <is>
          <t>Весенняя подкормка озимой пшеницы: Беларусь 120-200 кг/га селитры (оптимум 180); Украина 30-60 кг д.в./га; РФ 65-75 кг д.в./га первой подкормкой; Узбекистан (Хорезм) оптимум 120-180 кг N/га за сезон в зависимости от N почвы; фон N180P90K60 в Кашкадарье</t>
        </is>
      </c>
      <c r="C14" s="5" t="inlineStr">
        <is>
          <t>Горки 2006-08; Зернові культури 2020; Новомосковск; UNESCO/ZEF Khorezm 2005-07; AGRIS Кашкадарья</t>
        </is>
      </c>
    </row>
    <row r="15">
      <c r="A15" t="inlineStr">
        <is>
          <t>ОЦЕНКА</t>
        </is>
      </c>
      <c r="B15" s="5" t="inlineStr">
        <is>
          <t>Первая весенняя подкормка в Узбекистане -- по талой почве аммиачной селитрой (Карши, 2025); три срока подкормок</t>
        </is>
      </c>
      <c r="C15" s="5" t="inlineStr">
        <is>
          <t>vestnik.nauka.kz (аннотация)</t>
        </is>
      </c>
    </row>
    <row r="16">
      <c r="A16" t="inlineStr">
        <is>
          <t>ОЦЕНКА</t>
        </is>
      </c>
      <c r="B16" s="5" t="inlineStr">
        <is>
          <t>Бухара: январь ~1 °C, февраль ~6 °C; дней с осадками 1-5 в месяц; февраль -- самый облачный месяц</t>
        </is>
      </c>
      <c r="C16" s="5" t="inlineStr">
        <is>
          <t>Climate-zone.com, Weather Network (аэропорт Бухара), Яндекс Погода</t>
        </is>
      </c>
    </row>
    <row r="17">
      <c r="A17" t="inlineStr">
        <is>
          <t>ОЦЕНКА</t>
        </is>
      </c>
      <c r="B17" s="5" t="inlineStr">
        <is>
          <t>Ориентир наземной подкормки: сервисные организации Татарстана ~300 руб/га, по мерзлоталой почве -- «Туманы» на шинах низкого давления</t>
        </is>
      </c>
      <c r="C17" s="5" t="inlineStr">
        <is>
          <t>Минсельхоз Татарстана (доклад, без даты)</t>
        </is>
      </c>
    </row>
    <row r="18">
      <c r="A18" t="inlineStr">
        <is>
          <t>ОЦЕНКА</t>
        </is>
      </c>
      <c r="B18" s="5" t="inlineStr">
        <is>
          <t>США: услуги агродронов 8-25 USD/акр; расчёт Missouri Extension: 12,27 USD/акр собственная обработка, наём ~16 USD/акр (жидкость)</t>
        </is>
      </c>
      <c r="C18" s="5" t="inlineStr">
        <is>
          <t>Farmonaut, Missouri Extension g01274</t>
        </is>
      </c>
    </row>
    <row r="19">
      <c r="A19" t="inlineStr">
        <is>
          <t>ДОГАДКА</t>
        </is>
      </c>
      <c r="B19" s="5" t="inlineStr">
        <is>
          <t>Оплата пилота/помощников, пробег, износ, КПД зарядки, цена карбамида и пшеницы 2026, стоимость наземной альтернативы в районе</t>
        </is>
      </c>
      <c r="C19" s="5" t="inlineStr">
        <is>
          <t>Не найдено в открытых источниках -- заданы как редактируемые входы</t>
        </is>
      </c>
    </row>
    <row r="21">
      <c r="A21" s="5" t="inlineStr">
        <is>
          <t>Прямое чтение сайтов из облачной сессии было закрыто сетевой политикой: цифры взяты из поисковых сводок и помечены соответственно. Перед печатью КП сверить цены у поставщика и на UZEX.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2026-10-30T04:54:08Z</dcterms:created>
  <dcterms:modified xmlns:dcterms="http://purl.org/dc/terms/" xmlns:xsi="http://www.w3.org/2001/XMLSchema-instance" xsi:type="dcterms:W3CDTF">2026-10-30T04:54:08Z</dcterms:modified>
</cp:coreProperties>
</file>